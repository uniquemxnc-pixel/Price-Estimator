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<sst xmlns="http://schemas.openxmlformats.org/spreadsheetml/2006/main" count="14" uniqueCount="14">
  <si>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Product</t>
  </si>
  <si>
    <t>Base Price</t>
  </si>
  <si>
    <t>Import Cost</t>
  </si>
  <si>
    <t>Sub Distributors</t>
  </si>
  <si>
    <t>In-Person Restaurants</t>
  </si>
  <si>
    <t>Marketplace Restaurants</t>
  </si>
  <si>
    <t>Marketplace Residential</t>
  </si>
  <si>
    <t>PLATO TRINCHE CHENA 27 CM SELLO ESPECIAL</t>
  </si>
  <si>
    <t>PLATO TRINCHE CHENA 23 CM SELLO ESPECIAL</t>
  </si>
  <si>
    <t>PLATON OVALADO 38CM OTB SELLO ESPECIAL</t>
  </si>
  <si>
    <t>PLATON OVALADO 34CM OTB SELLO ESPECIAL</t>
  </si>
  <si>
    <t>TAZÓN SOPA LAILA 350ML SELLO ESPECIAL</t>
  </si>
  <si>
    <t>MUG ACAPULCO SELLO ESPECIAL 300ML</t>
  </si>
  <si>
    <t>TAZON PANERA 21 CM SELLO ESPECIAL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</si>
</sst>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i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shrinkToFit="0" vertical="bottom" wrapText="1"/>
    </xf>
    <xf borderId="1" fillId="5" fontId="3" numFmtId="164" xfId="0" applyAlignment="1" applyBorder="1" applyFill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9.17</v>
      </c>
      <c r="C2" s="4">
        <f t="shared" ref="C2:C8" si="1">B2+1</f>
        <v>10.17</v>
      </c>
      <c r="D2" s="4">
        <f t="shared" ref="D2:D8" si="2">C2*1.25</f>
        <v>12.7125</v>
      </c>
      <c r="E2" s="4">
        <f t="shared" ref="E2:E8" si="3">C2*1.45</f>
        <v>14.7465</v>
      </c>
      <c r="F2" s="4">
        <f t="shared" ref="F2:F8" si="4">C2*1.65</f>
        <v>16.7805</v>
      </c>
      <c r="G2" s="4">
        <f t="shared" ref="G2:G8" si="5">C2*1.85</f>
        <v>18.8145</v>
      </c>
    </row>
    <row r="3">
      <c r="A3" s="3" t="s">
        <v>8</v>
      </c>
      <c r="B3" s="4">
        <v>6.45</v>
      </c>
      <c r="C3" s="4">
        <f t="shared" si="1"/>
        <v>7.45</v>
      </c>
      <c r="D3" s="4">
        <f t="shared" si="2"/>
        <v>9.3125</v>
      </c>
      <c r="E3" s="4">
        <f t="shared" si="3"/>
        <v>10.8025</v>
      </c>
      <c r="F3" s="4">
        <f t="shared" si="4"/>
        <v>12.2925</v>
      </c>
      <c r="G3" s="4">
        <f t="shared" si="5"/>
        <v>13.7825</v>
      </c>
    </row>
    <row r="4">
      <c r="A4" s="3" t="s">
        <v>9</v>
      </c>
      <c r="B4" s="4">
        <v>17.03</v>
      </c>
      <c r="C4" s="4">
        <f t="shared" si="1"/>
        <v>18.03</v>
      </c>
      <c r="D4" s="4">
        <f t="shared" si="2"/>
        <v>22.5375</v>
      </c>
      <c r="E4" s="4">
        <f t="shared" si="3"/>
        <v>26.1435</v>
      </c>
      <c r="F4" s="4">
        <f t="shared" si="4"/>
        <v>29.7495</v>
      </c>
      <c r="G4" s="4">
        <f t="shared" si="5"/>
        <v>33.3555</v>
      </c>
    </row>
    <row r="5">
      <c r="A5" s="3" t="s">
        <v>10</v>
      </c>
      <c r="B5" s="4">
        <v>13.0</v>
      </c>
      <c r="C5" s="4">
        <f t="shared" si="1"/>
        <v>14</v>
      </c>
      <c r="D5" s="4">
        <f t="shared" si="2"/>
        <v>17.5</v>
      </c>
      <c r="E5" s="4">
        <f t="shared" si="3"/>
        <v>20.3</v>
      </c>
      <c r="F5" s="4">
        <f t="shared" si="4"/>
        <v>23.1</v>
      </c>
      <c r="G5" s="4">
        <f t="shared" si="5"/>
        <v>25.9</v>
      </c>
    </row>
    <row r="6">
      <c r="A6" s="3" t="s">
        <v>11</v>
      </c>
      <c r="B6" s="4">
        <v>3.47</v>
      </c>
      <c r="C6" s="4">
        <f t="shared" si="1"/>
        <v>4.47</v>
      </c>
      <c r="D6" s="4">
        <f t="shared" si="2"/>
        <v>5.5875</v>
      </c>
      <c r="E6" s="4">
        <f t="shared" si="3"/>
        <v>6.4815</v>
      </c>
      <c r="F6" s="4">
        <f t="shared" si="4"/>
        <v>7.3755</v>
      </c>
      <c r="G6" s="4">
        <f t="shared" si="5"/>
        <v>8.2695</v>
      </c>
    </row>
    <row r="7">
      <c r="A7" s="3" t="s">
        <v>12</v>
      </c>
      <c r="B7" s="4">
        <v>4.15</v>
      </c>
      <c r="C7" s="4">
        <f t="shared" si="1"/>
        <v>5.15</v>
      </c>
      <c r="D7" s="4">
        <f t="shared" si="2"/>
        <v>6.4375</v>
      </c>
      <c r="E7" s="4">
        <f t="shared" si="3"/>
        <v>7.4675</v>
      </c>
      <c r="F7" s="4">
        <f t="shared" si="4"/>
        <v>8.4975</v>
      </c>
      <c r="G7" s="4">
        <f t="shared" si="5"/>
        <v>9.5275</v>
      </c>
    </row>
    <row r="8">
      <c r="A8" s="3" t="s">
        <v>13</v>
      </c>
      <c r="B8" s="4">
        <v>9.22</v>
      </c>
      <c r="C8" s="4">
        <f t="shared" si="1"/>
        <v>10.22</v>
      </c>
      <c r="D8" s="4">
        <f t="shared" si="2"/>
        <v>12.775</v>
      </c>
      <c r="E8" s="4">
        <f t="shared" si="3"/>
        <v>14.819</v>
      </c>
      <c r="F8" s="4">
        <f t="shared" si="4"/>
        <v>16.863</v>
      </c>
      <c r="G8" s="4">
        <f t="shared" si="5"/>
        <v>18.907</v>
      </c>
    </row>
  </sheetData>
  <drawing r:id="rId1"/>
</worksheet>
</file>