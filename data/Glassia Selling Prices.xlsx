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assia" sheetId="1" r:id="rId5"/>
    <sheet state="visible" name="Anfora Unique MX Line  " sheetId="2" r:id="rId6"/>
  </sheets>
  <definedNames/>
  <calcPr/>
</workbook>
</file>

<file path=xl/sharedStrings.xml><?xml version="1.0" encoding="utf-8"?>
<sst xmlns="http://schemas.openxmlformats.org/spreadsheetml/2006/main" count="110" uniqueCount="103">
  <si>
    <t>Product</t>
  </si>
  <si>
    <t>Base Price</t>
  </si>
  <si>
    <t>Sub Distributors</t>
  </si>
  <si>
    <t>In-Person Restaurants</t>
  </si>
  <si>
    <t>In-Person Restaurants Customized</t>
  </si>
  <si>
    <t>Marketplace Restaurants</t>
  </si>
  <si>
    <t>Marketplace Residential</t>
  </si>
  <si>
    <t>C TOSCANA 370ML</t>
  </si>
  <si>
    <t>C FLAUTA CALIFORNIA 190ML EK24</t>
  </si>
  <si>
    <t>C CALIFORNIA 470ML EK24</t>
  </si>
  <si>
    <t>C CALIFORNIA 590ML EK24</t>
  </si>
  <si>
    <t>C CERVECERA CALIFORNIA 350ML EK241</t>
  </si>
  <si>
    <t>SUPER TARRO CERVECERO 1L/TARRO</t>
  </si>
  <si>
    <t>TARRO BERLÍN 500ML EK12</t>
  </si>
  <si>
    <t>T CERVECERO MUNICH 420ML EK12</t>
  </si>
  <si>
    <t>V PILSNER 470ML EK24</t>
  </si>
  <si>
    <t>VASO TEQUILERO 45ML</t>
  </si>
  <si>
    <t>VASO TEQUILERO DOBLE 60ML</t>
  </si>
  <si>
    <t>TEQUILERO SIENA 45ML</t>
  </si>
  <si>
    <t>C GIN 650ML EK12</t>
  </si>
  <si>
    <t>V NAPA STEMPLESS 17 OZ EK12</t>
  </si>
  <si>
    <t>C MARTINI 10 Oz EK24</t>
  </si>
  <si>
    <t>VASO CUBERO SOAVE 290ML</t>
  </si>
  <si>
    <t>VASO REFRESCO CASALE 490ML</t>
  </si>
  <si>
    <t>V CASALE 590ML EK12 LB</t>
  </si>
  <si>
    <t>JARRA CASALE 1.7 L/JARRA DE VIDRIO-PITC</t>
  </si>
  <si>
    <t>VASO HB SIENA 370ML</t>
  </si>
  <si>
    <t>VASO RERESCO SIENA 485ML</t>
  </si>
  <si>
    <t>COPA MALTEADA 400ML</t>
  </si>
  <si>
    <t>COPA IMPERIA 525ML</t>
  </si>
  <si>
    <t>C POSTRE 10 Oz EK24</t>
  </si>
  <si>
    <t>COPA AGUA FERRARA 350ML</t>
  </si>
  <si>
    <t>VASO OF NOVARA 210ML</t>
  </si>
  <si>
    <t xml:space="preserve"> </t>
  </si>
  <si>
    <t>COPA TOSCANA 190 ML</t>
  </si>
  <si>
    <t>COPA TOSCANA 470 ML</t>
  </si>
  <si>
    <t>COPA CERVECERA TOSCANA 370 ML</t>
  </si>
  <si>
    <t>VASO SCOTLAND 300 ML</t>
  </si>
  <si>
    <t>Casale Tequila Shot 70 ml</t>
  </si>
  <si>
    <t>TARRO CERVECERO 360ML</t>
  </si>
  <si>
    <t>VASO DENVER 500 ML / 17 OZ</t>
  </si>
  <si>
    <t>VASO GLASGOW DOF 330 ML / 11.7 OZ</t>
  </si>
  <si>
    <t>VASO DOF ELSA 345 ML</t>
  </si>
  <si>
    <t>VASO HB ELSA 475 ML</t>
  </si>
  <si>
    <t>VASO OF SIENA 160ML</t>
  </si>
  <si>
    <t>VASO GLASGOW HB 350 ML / 12.3 OZ</t>
  </si>
  <si>
    <t>VASO TORINO 360 ML / 12 OZ</t>
  </si>
  <si>
    <t>VASO TORINO 500 ML / 16 OZ</t>
  </si>
  <si>
    <t>VASO CAFETERO SOAVE  250ML</t>
  </si>
  <si>
    <t>VASO JUGO SOAVE 230ML</t>
  </si>
  <si>
    <t>VASO TUBO Soave 300 ML</t>
  </si>
  <si>
    <t>VASO TUBO SOPLO 310 ML</t>
  </si>
  <si>
    <t>VASO AGUA CASALE 330ML</t>
  </si>
  <si>
    <t>VASO DOF CASALE 380ML</t>
  </si>
  <si>
    <t>VASO HB CASALE  420ML</t>
  </si>
  <si>
    <t>VASO OF NOVARA 260ML</t>
  </si>
  <si>
    <t xml:space="preserve">VASO DOF  HONEYCOMB 380ML </t>
  </si>
  <si>
    <t>VASO DOF DIAMONDS 380 ML</t>
  </si>
  <si>
    <t>VASO REFRESCO BORA 490ML</t>
  </si>
  <si>
    <t>VASO REFRESCO DIAMOND 490ML</t>
  </si>
  <si>
    <t>VASO REFRESCO HONEYCOMB 490ML</t>
  </si>
  <si>
    <t>JARRA DIAMONDS   1.7 L</t>
  </si>
  <si>
    <t>JARRA HONEYCOMB  1.7 L</t>
  </si>
  <si>
    <t>VASO DOF PORTOFINO 380ML</t>
  </si>
  <si>
    <t>VASO REFRESCO PORTOFINO 490ML</t>
  </si>
  <si>
    <t>JARRA PORTOFINO 1.7L</t>
  </si>
  <si>
    <t xml:space="preserve">VASO DOF  CHEVRON 380ML </t>
  </si>
  <si>
    <t>VASO DOF HORIZONTAL 380 ML</t>
  </si>
  <si>
    <t>VASO DOF WINDOWS 380 ML</t>
  </si>
  <si>
    <t>VASO REFRESCO CHEVRON  490ML</t>
  </si>
  <si>
    <t>VASO REFRESCO HORIZONTAL 490ML</t>
  </si>
  <si>
    <t>VASO REFRESCO WINDOWS 490ML</t>
  </si>
  <si>
    <t>VASO HB SIENA 315 ML</t>
  </si>
  <si>
    <t>VASO HB SIENA 420ML</t>
  </si>
  <si>
    <t>VASO OF SIENA 200ML</t>
  </si>
  <si>
    <t>VASO OF SIENA 270ML</t>
  </si>
  <si>
    <t>SÚPER VASO SIENA 650 ML</t>
  </si>
  <si>
    <t>VASO AGUA PORTOFINO 330ML</t>
  </si>
  <si>
    <t>VASO CAFETERO PORTOFINO 250 ML</t>
  </si>
  <si>
    <t>VASO HB PORTOFINO 420ML</t>
  </si>
  <si>
    <t>VASO MADRID 500 ML</t>
  </si>
  <si>
    <t>VASO PARIS 500 ML</t>
  </si>
  <si>
    <t>COPA FERRARA 420 ML</t>
  </si>
  <si>
    <t>VASO HB BARI 360 ML</t>
  </si>
  <si>
    <t>VASO LIMONERO 330 ML</t>
  </si>
  <si>
    <t>VASO REFRESCO QUADRAFOIL 490ML</t>
  </si>
  <si>
    <t>COPA CALIFORNIA 350 ML</t>
  </si>
  <si>
    <t>MASON JAR 487ML</t>
  </si>
  <si>
    <t>Base</t>
  </si>
  <si>
    <t xml:space="preserve">mas 1 Dolar </t>
  </si>
  <si>
    <t>1 Dolar mas 25%</t>
  </si>
  <si>
    <t xml:space="preserve">1 Dolar mas 45% </t>
  </si>
  <si>
    <t>1 Dolar mas 65%</t>
  </si>
  <si>
    <t>1 Dolar mas 85%</t>
  </si>
  <si>
    <t>Import Cost</t>
  </si>
  <si>
    <t>PLATO TRINCHE CHENA 27 CM SELLO ESPECIAL</t>
  </si>
  <si>
    <t>PLATO TRINCHE CHENA 23 CM SELLO ESPECIAL</t>
  </si>
  <si>
    <t>\</t>
  </si>
  <si>
    <t>PLATON OVALADO 38CM OTB SELLO ESPECIAL</t>
  </si>
  <si>
    <t>PLATON OVALADO 34CM OTB SELLO ESPECIAL</t>
  </si>
  <si>
    <t>TAZÓN SOPA LAILA 350ML SELLO ESPECIAL</t>
  </si>
  <si>
    <t>MUG ACAPULCO SELLO ESPECIAL 300ML</t>
  </si>
  <si>
    <t>TAZON PANERA 21 CM SELLO ESPECIAL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</si>
</sst>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i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horizontal="left" readingOrder="0" shrinkToFit="0" wrapText="1"/>
    </xf>
    <xf borderId="1" fillId="5" fontId="2" numFmtId="164" xfId="0" applyAlignment="1" applyBorder="1" applyFill="1" applyFont="1" applyNumberFormat="1">
      <alignment readingOrder="0" shrinkToFit="0" wrapText="1"/>
    </xf>
    <xf borderId="1" fillId="5" fontId="2" numFmtId="164" xfId="0" applyAlignment="1" applyBorder="1" applyFont="1" applyNumberFormat="1">
      <alignment shrinkToFit="0" wrapText="1"/>
    </xf>
    <xf borderId="1" fillId="3" fontId="2" numFmtId="164" xfId="0" applyAlignment="1" applyBorder="1" applyFont="1" applyNumberFormat="1">
      <alignment shrinkToFit="0" wrapText="1"/>
    </xf>
    <xf borderId="1" fillId="4" fontId="3" numFmtId="0" xfId="0" applyAlignment="1" applyBorder="1" applyFont="1">
      <alignment horizontal="left" readingOrder="0" shrinkToFit="0" wrapText="1"/>
    </xf>
    <xf borderId="1" fillId="4" fontId="4" numFmtId="0" xfId="0" applyAlignment="1" applyBorder="1" applyFont="1">
      <alignment horizontal="left" shrinkToFit="0" wrapText="1"/>
    </xf>
    <xf borderId="1" fillId="5" fontId="4" numFmtId="164" xfId="0" applyAlignment="1" applyBorder="1" applyFont="1" applyNumberFormat="1">
      <alignment horizontal="right" shrinkToFit="0" wrapText="1"/>
    </xf>
    <xf borderId="1" fillId="4" fontId="3" numFmtId="0" xfId="0" applyAlignment="1" applyBorder="1" applyFont="1">
      <alignment horizontal="left" readingOrder="0"/>
    </xf>
    <xf borderId="1" fillId="5" fontId="3" numFmtId="164" xfId="0" applyAlignment="1" applyBorder="1" applyFont="1" applyNumberFormat="1">
      <alignment horizontal="right" readingOrder="0"/>
    </xf>
    <xf borderId="0" fillId="3" fontId="2" numFmtId="0" xfId="0" applyFont="1"/>
    <xf borderId="1" fillId="0" fontId="5" numFmtId="0" xfId="0" applyAlignment="1" applyBorder="1" applyFont="1">
      <alignment vertical="bottom"/>
    </xf>
    <xf borderId="1" fillId="6" fontId="1" numFmtId="0" xfId="0" applyAlignment="1" applyBorder="1" applyFill="1" applyFont="1">
      <alignment shrinkToFit="0" vertical="bottom" wrapText="1"/>
    </xf>
    <xf borderId="1" fillId="7" fontId="1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vertical="bottom"/>
    </xf>
    <xf borderId="1" fillId="8" fontId="6" numFmtId="0" xfId="0" applyAlignment="1" applyBorder="1" applyFill="1" applyFont="1">
      <alignment shrinkToFit="0" vertical="bottom" wrapText="1"/>
    </xf>
    <xf borderId="1" fillId="9" fontId="5" numFmtId="164" xfId="0" applyAlignment="1" applyBorder="1" applyFill="1" applyFont="1" applyNumberFormat="1">
      <alignment horizontal="right" shrinkToFit="0" vertical="bottom" wrapText="1"/>
    </xf>
    <xf borderId="0" fillId="9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6</v>
      </c>
    </row>
    <row r="2">
      <c r="A2" s="5" t="s">
        <v>7</v>
      </c>
      <c r="B2" s="6">
        <v>0.725</v>
      </c>
      <c r="C2" s="7">
        <f t="shared" ref="C2:C82" si="1">B2*1.3</f>
        <v>0.9425</v>
      </c>
      <c r="D2" s="8">
        <f t="shared" ref="D2:D82" si="2">B2*1.5</f>
        <v>1.0875</v>
      </c>
      <c r="E2" s="6">
        <f t="shared" ref="E2:E82" si="3">(B2+0.3)*1.5</f>
        <v>1.5375</v>
      </c>
      <c r="F2" s="7">
        <f t="shared" ref="F2:F82" si="4">B2*1.65</f>
        <v>1.19625</v>
      </c>
      <c r="G2" s="7">
        <f t="shared" ref="G2:G82" si="5">B2*1.85</f>
        <v>1.34125</v>
      </c>
    </row>
    <row r="3">
      <c r="A3" s="5" t="s">
        <v>8</v>
      </c>
      <c r="B3" s="6">
        <v>0.648</v>
      </c>
      <c r="C3" s="7">
        <f t="shared" si="1"/>
        <v>0.8424</v>
      </c>
      <c r="D3" s="8">
        <f t="shared" si="2"/>
        <v>0.972</v>
      </c>
      <c r="E3" s="6">
        <f t="shared" si="3"/>
        <v>1.422</v>
      </c>
      <c r="F3" s="7">
        <f t="shared" si="4"/>
        <v>1.0692</v>
      </c>
      <c r="G3" s="7">
        <f t="shared" si="5"/>
        <v>1.1988</v>
      </c>
    </row>
    <row r="4">
      <c r="A4" s="5" t="s">
        <v>9</v>
      </c>
      <c r="B4" s="6">
        <v>0.919</v>
      </c>
      <c r="C4" s="7">
        <f t="shared" si="1"/>
        <v>1.1947</v>
      </c>
      <c r="D4" s="8">
        <f t="shared" si="2"/>
        <v>1.3785</v>
      </c>
      <c r="E4" s="6">
        <f t="shared" si="3"/>
        <v>1.8285</v>
      </c>
      <c r="F4" s="7">
        <f t="shared" si="4"/>
        <v>1.51635</v>
      </c>
      <c r="G4" s="7">
        <f t="shared" si="5"/>
        <v>1.70015</v>
      </c>
    </row>
    <row r="5">
      <c r="A5" s="5" t="s">
        <v>10</v>
      </c>
      <c r="B5" s="6">
        <v>1.118</v>
      </c>
      <c r="C5" s="7">
        <f t="shared" si="1"/>
        <v>1.4534</v>
      </c>
      <c r="D5" s="8">
        <f t="shared" si="2"/>
        <v>1.677</v>
      </c>
      <c r="E5" s="6">
        <f t="shared" si="3"/>
        <v>2.127</v>
      </c>
      <c r="F5" s="7">
        <f t="shared" si="4"/>
        <v>1.8447</v>
      </c>
      <c r="G5" s="7">
        <f t="shared" si="5"/>
        <v>2.0683</v>
      </c>
    </row>
    <row r="6">
      <c r="A6" s="5" t="s">
        <v>11</v>
      </c>
      <c r="B6" s="6">
        <v>0.704</v>
      </c>
      <c r="C6" s="7">
        <f t="shared" si="1"/>
        <v>0.9152</v>
      </c>
      <c r="D6" s="8">
        <f t="shared" si="2"/>
        <v>1.056</v>
      </c>
      <c r="E6" s="6">
        <f t="shared" si="3"/>
        <v>1.506</v>
      </c>
      <c r="F6" s="7">
        <f t="shared" si="4"/>
        <v>1.1616</v>
      </c>
      <c r="G6" s="7">
        <f t="shared" si="5"/>
        <v>1.3024</v>
      </c>
    </row>
    <row r="7">
      <c r="A7" s="5" t="s">
        <v>12</v>
      </c>
      <c r="B7" s="6">
        <v>2.886</v>
      </c>
      <c r="C7" s="7">
        <f t="shared" si="1"/>
        <v>3.7518</v>
      </c>
      <c r="D7" s="8">
        <f t="shared" si="2"/>
        <v>4.329</v>
      </c>
      <c r="E7" s="6">
        <f t="shared" si="3"/>
        <v>4.779</v>
      </c>
      <c r="F7" s="7">
        <f t="shared" si="4"/>
        <v>4.7619</v>
      </c>
      <c r="G7" s="7">
        <f t="shared" si="5"/>
        <v>5.3391</v>
      </c>
    </row>
    <row r="8">
      <c r="A8" s="5" t="s">
        <v>13</v>
      </c>
      <c r="B8" s="6">
        <v>1.345</v>
      </c>
      <c r="C8" s="7">
        <f t="shared" si="1"/>
        <v>1.7485</v>
      </c>
      <c r="D8" s="8">
        <f t="shared" si="2"/>
        <v>2.0175</v>
      </c>
      <c r="E8" s="6">
        <f t="shared" si="3"/>
        <v>2.4675</v>
      </c>
      <c r="F8" s="7">
        <f t="shared" si="4"/>
        <v>2.21925</v>
      </c>
      <c r="G8" s="7">
        <f t="shared" si="5"/>
        <v>2.48825</v>
      </c>
    </row>
    <row r="9">
      <c r="A9" s="5" t="s">
        <v>14</v>
      </c>
      <c r="B9" s="6">
        <v>1.478</v>
      </c>
      <c r="C9" s="7">
        <f t="shared" si="1"/>
        <v>1.9214</v>
      </c>
      <c r="D9" s="8">
        <f t="shared" si="2"/>
        <v>2.217</v>
      </c>
      <c r="E9" s="6">
        <f t="shared" si="3"/>
        <v>2.667</v>
      </c>
      <c r="F9" s="7">
        <f t="shared" si="4"/>
        <v>2.4387</v>
      </c>
      <c r="G9" s="7">
        <f t="shared" si="5"/>
        <v>2.7343</v>
      </c>
    </row>
    <row r="10">
      <c r="A10" s="5" t="s">
        <v>15</v>
      </c>
      <c r="B10" s="6">
        <v>0.817</v>
      </c>
      <c r="C10" s="7">
        <f t="shared" si="1"/>
        <v>1.0621</v>
      </c>
      <c r="D10" s="8">
        <f t="shared" si="2"/>
        <v>1.2255</v>
      </c>
      <c r="E10" s="6">
        <f t="shared" si="3"/>
        <v>1.6755</v>
      </c>
      <c r="F10" s="7">
        <f t="shared" si="4"/>
        <v>1.34805</v>
      </c>
      <c r="G10" s="7">
        <f t="shared" si="5"/>
        <v>1.51145</v>
      </c>
    </row>
    <row r="11">
      <c r="A11" s="5" t="s">
        <v>16</v>
      </c>
      <c r="B11" s="6">
        <v>0.333</v>
      </c>
      <c r="C11" s="7">
        <f t="shared" si="1"/>
        <v>0.4329</v>
      </c>
      <c r="D11" s="8">
        <f t="shared" si="2"/>
        <v>0.4995</v>
      </c>
      <c r="E11" s="6">
        <f t="shared" si="3"/>
        <v>0.9495</v>
      </c>
      <c r="F11" s="7">
        <f t="shared" si="4"/>
        <v>0.54945</v>
      </c>
      <c r="G11" s="7">
        <f t="shared" si="5"/>
        <v>0.61605</v>
      </c>
    </row>
    <row r="12">
      <c r="A12" s="5" t="s">
        <v>17</v>
      </c>
      <c r="B12" s="6">
        <v>0.319</v>
      </c>
      <c r="C12" s="7">
        <f t="shared" si="1"/>
        <v>0.4147</v>
      </c>
      <c r="D12" s="8">
        <f t="shared" si="2"/>
        <v>0.4785</v>
      </c>
      <c r="E12" s="6">
        <f t="shared" si="3"/>
        <v>0.9285</v>
      </c>
      <c r="F12" s="7">
        <f t="shared" si="4"/>
        <v>0.52635</v>
      </c>
      <c r="G12" s="7">
        <f t="shared" si="5"/>
        <v>0.59015</v>
      </c>
    </row>
    <row r="13">
      <c r="A13" s="5" t="s">
        <v>18</v>
      </c>
      <c r="B13" s="6">
        <v>0.307</v>
      </c>
      <c r="C13" s="7">
        <f t="shared" si="1"/>
        <v>0.3991</v>
      </c>
      <c r="D13" s="8">
        <f t="shared" si="2"/>
        <v>0.4605</v>
      </c>
      <c r="E13" s="6">
        <f t="shared" si="3"/>
        <v>0.9105</v>
      </c>
      <c r="F13" s="7">
        <f t="shared" si="4"/>
        <v>0.50655</v>
      </c>
      <c r="G13" s="7">
        <f t="shared" si="5"/>
        <v>0.56795</v>
      </c>
    </row>
    <row r="14">
      <c r="A14" s="5" t="s">
        <v>19</v>
      </c>
      <c r="B14" s="6">
        <v>1.129</v>
      </c>
      <c r="C14" s="7">
        <f t="shared" si="1"/>
        <v>1.4677</v>
      </c>
      <c r="D14" s="8">
        <f t="shared" si="2"/>
        <v>1.6935</v>
      </c>
      <c r="E14" s="6">
        <f t="shared" si="3"/>
        <v>2.1435</v>
      </c>
      <c r="F14" s="7">
        <f t="shared" si="4"/>
        <v>1.86285</v>
      </c>
      <c r="G14" s="7">
        <f t="shared" si="5"/>
        <v>2.08865</v>
      </c>
    </row>
    <row r="15">
      <c r="A15" s="5" t="s">
        <v>20</v>
      </c>
      <c r="B15" s="6">
        <v>0.534</v>
      </c>
      <c r="C15" s="7">
        <f t="shared" si="1"/>
        <v>0.6942</v>
      </c>
      <c r="D15" s="8">
        <f t="shared" si="2"/>
        <v>0.801</v>
      </c>
      <c r="E15" s="6">
        <f t="shared" si="3"/>
        <v>1.251</v>
      </c>
      <c r="F15" s="7">
        <f t="shared" si="4"/>
        <v>0.8811</v>
      </c>
      <c r="G15" s="7">
        <f t="shared" si="5"/>
        <v>0.9879</v>
      </c>
    </row>
    <row r="16">
      <c r="A16" s="5" t="s">
        <v>21</v>
      </c>
      <c r="B16" s="6">
        <v>0.838</v>
      </c>
      <c r="C16" s="7">
        <f t="shared" si="1"/>
        <v>1.0894</v>
      </c>
      <c r="D16" s="8">
        <f t="shared" si="2"/>
        <v>1.257</v>
      </c>
      <c r="E16" s="6">
        <f t="shared" si="3"/>
        <v>1.707</v>
      </c>
      <c r="F16" s="7">
        <f t="shared" si="4"/>
        <v>1.3827</v>
      </c>
      <c r="G16" s="7">
        <f t="shared" si="5"/>
        <v>1.5503</v>
      </c>
    </row>
    <row r="17">
      <c r="A17" s="5" t="s">
        <v>22</v>
      </c>
      <c r="B17" s="6">
        <v>0.518</v>
      </c>
      <c r="C17" s="7">
        <f t="shared" si="1"/>
        <v>0.6734</v>
      </c>
      <c r="D17" s="8">
        <f t="shared" si="2"/>
        <v>0.777</v>
      </c>
      <c r="E17" s="6">
        <f t="shared" si="3"/>
        <v>1.227</v>
      </c>
      <c r="F17" s="7">
        <f t="shared" si="4"/>
        <v>0.8547</v>
      </c>
      <c r="G17" s="7">
        <f t="shared" si="5"/>
        <v>0.9583</v>
      </c>
    </row>
    <row r="18">
      <c r="A18" s="5" t="s">
        <v>23</v>
      </c>
      <c r="B18" s="6">
        <v>0.629</v>
      </c>
      <c r="C18" s="7">
        <f t="shared" si="1"/>
        <v>0.8177</v>
      </c>
      <c r="D18" s="8">
        <f t="shared" si="2"/>
        <v>0.9435</v>
      </c>
      <c r="E18" s="6">
        <f t="shared" si="3"/>
        <v>1.3935</v>
      </c>
      <c r="F18" s="7">
        <f t="shared" si="4"/>
        <v>1.03785</v>
      </c>
      <c r="G18" s="7">
        <f t="shared" si="5"/>
        <v>1.16365</v>
      </c>
    </row>
    <row r="19">
      <c r="A19" s="5" t="s">
        <v>24</v>
      </c>
      <c r="B19" s="6">
        <v>0.865</v>
      </c>
      <c r="C19" s="7">
        <f t="shared" si="1"/>
        <v>1.1245</v>
      </c>
      <c r="D19" s="8">
        <f t="shared" si="2"/>
        <v>1.2975</v>
      </c>
      <c r="E19" s="6">
        <f t="shared" si="3"/>
        <v>1.7475</v>
      </c>
      <c r="F19" s="7">
        <f t="shared" si="4"/>
        <v>1.42725</v>
      </c>
      <c r="G19" s="7">
        <f t="shared" si="5"/>
        <v>1.60025</v>
      </c>
    </row>
    <row r="20">
      <c r="A20" s="5" t="s">
        <v>25</v>
      </c>
      <c r="B20" s="6">
        <v>2.545</v>
      </c>
      <c r="C20" s="7">
        <f t="shared" si="1"/>
        <v>3.3085</v>
      </c>
      <c r="D20" s="8">
        <f t="shared" si="2"/>
        <v>3.8175</v>
      </c>
      <c r="E20" s="6">
        <f t="shared" si="3"/>
        <v>4.2675</v>
      </c>
      <c r="F20" s="7">
        <f t="shared" si="4"/>
        <v>4.19925</v>
      </c>
      <c r="G20" s="7">
        <f t="shared" si="5"/>
        <v>4.70825</v>
      </c>
    </row>
    <row r="21">
      <c r="A21" s="5" t="s">
        <v>26</v>
      </c>
      <c r="B21" s="6">
        <v>0.652</v>
      </c>
      <c r="C21" s="7">
        <f t="shared" si="1"/>
        <v>0.8476</v>
      </c>
      <c r="D21" s="8">
        <f t="shared" si="2"/>
        <v>0.978</v>
      </c>
      <c r="E21" s="6">
        <f t="shared" si="3"/>
        <v>1.428</v>
      </c>
      <c r="F21" s="7">
        <f t="shared" si="4"/>
        <v>1.0758</v>
      </c>
      <c r="G21" s="7">
        <f t="shared" si="5"/>
        <v>1.2062</v>
      </c>
    </row>
    <row r="22">
      <c r="A22" s="5" t="s">
        <v>27</v>
      </c>
      <c r="B22" s="6">
        <v>0.853</v>
      </c>
      <c r="C22" s="7">
        <f t="shared" si="1"/>
        <v>1.1089</v>
      </c>
      <c r="D22" s="8">
        <f t="shared" si="2"/>
        <v>1.2795</v>
      </c>
      <c r="E22" s="6">
        <f t="shared" si="3"/>
        <v>1.7295</v>
      </c>
      <c r="F22" s="7">
        <f t="shared" si="4"/>
        <v>1.40745</v>
      </c>
      <c r="G22" s="7">
        <f t="shared" si="5"/>
        <v>1.57805</v>
      </c>
    </row>
    <row r="23">
      <c r="A23" s="5" t="s">
        <v>28</v>
      </c>
      <c r="B23" s="6">
        <v>1.111</v>
      </c>
      <c r="C23" s="7">
        <f t="shared" si="1"/>
        <v>1.4443</v>
      </c>
      <c r="D23" s="8">
        <f t="shared" si="2"/>
        <v>1.6665</v>
      </c>
      <c r="E23" s="6">
        <f t="shared" si="3"/>
        <v>2.1165</v>
      </c>
      <c r="F23" s="7">
        <f t="shared" si="4"/>
        <v>1.83315</v>
      </c>
      <c r="G23" s="7">
        <f t="shared" si="5"/>
        <v>2.05535</v>
      </c>
    </row>
    <row r="24">
      <c r="A24" s="5" t="s">
        <v>29</v>
      </c>
      <c r="B24" s="6">
        <v>1.69</v>
      </c>
      <c r="C24" s="7">
        <f t="shared" si="1"/>
        <v>2.197</v>
      </c>
      <c r="D24" s="8">
        <f t="shared" si="2"/>
        <v>2.535</v>
      </c>
      <c r="E24" s="6">
        <f t="shared" si="3"/>
        <v>2.985</v>
      </c>
      <c r="F24" s="7">
        <f t="shared" si="4"/>
        <v>2.7885</v>
      </c>
      <c r="G24" s="7">
        <f t="shared" si="5"/>
        <v>3.1265</v>
      </c>
    </row>
    <row r="25">
      <c r="A25" s="5" t="s">
        <v>30</v>
      </c>
      <c r="B25" s="6">
        <v>0.56</v>
      </c>
      <c r="C25" s="7">
        <f t="shared" si="1"/>
        <v>0.728</v>
      </c>
      <c r="D25" s="8">
        <f t="shared" si="2"/>
        <v>0.84</v>
      </c>
      <c r="E25" s="6">
        <f t="shared" si="3"/>
        <v>1.29</v>
      </c>
      <c r="F25" s="7">
        <f t="shared" si="4"/>
        <v>0.924</v>
      </c>
      <c r="G25" s="7">
        <f t="shared" si="5"/>
        <v>1.036</v>
      </c>
    </row>
    <row r="26">
      <c r="A26" s="5" t="s">
        <v>31</v>
      </c>
      <c r="B26" s="6">
        <v>0.502</v>
      </c>
      <c r="C26" s="7">
        <f t="shared" si="1"/>
        <v>0.6526</v>
      </c>
      <c r="D26" s="8">
        <f t="shared" si="2"/>
        <v>0.753</v>
      </c>
      <c r="E26" s="6">
        <f t="shared" si="3"/>
        <v>1.203</v>
      </c>
      <c r="F26" s="7">
        <f t="shared" si="4"/>
        <v>0.8283</v>
      </c>
      <c r="G26" s="7">
        <f t="shared" si="5"/>
        <v>0.9287</v>
      </c>
    </row>
    <row r="27">
      <c r="A27" s="5" t="s">
        <v>32</v>
      </c>
      <c r="B27" s="6">
        <v>0.485</v>
      </c>
      <c r="C27" s="7">
        <f t="shared" si="1"/>
        <v>0.6305</v>
      </c>
      <c r="D27" s="8">
        <f t="shared" si="2"/>
        <v>0.7275</v>
      </c>
      <c r="E27" s="6">
        <f t="shared" si="3"/>
        <v>1.1775</v>
      </c>
      <c r="F27" s="7">
        <f t="shared" si="4"/>
        <v>0.80025</v>
      </c>
      <c r="G27" s="7">
        <f t="shared" si="5"/>
        <v>0.89725</v>
      </c>
    </row>
    <row r="28">
      <c r="A28" s="9" t="s">
        <v>33</v>
      </c>
      <c r="B28" s="6">
        <v>0.458</v>
      </c>
      <c r="C28" s="7">
        <f t="shared" si="1"/>
        <v>0.5954</v>
      </c>
      <c r="D28" s="8">
        <f t="shared" si="2"/>
        <v>0.687</v>
      </c>
      <c r="E28" s="6">
        <f t="shared" si="3"/>
        <v>1.137</v>
      </c>
      <c r="F28" s="7">
        <f t="shared" si="4"/>
        <v>0.7557</v>
      </c>
      <c r="G28" s="7">
        <f t="shared" si="5"/>
        <v>0.8473</v>
      </c>
    </row>
    <row r="29">
      <c r="A29" s="10" t="s">
        <v>34</v>
      </c>
      <c r="B29" s="11">
        <v>0.7111079561042525</v>
      </c>
      <c r="C29" s="7">
        <f t="shared" si="1"/>
        <v>0.9244403429</v>
      </c>
      <c r="D29" s="8">
        <f t="shared" si="2"/>
        <v>1.066661934</v>
      </c>
      <c r="E29" s="6">
        <f t="shared" si="3"/>
        <v>1.516661934</v>
      </c>
      <c r="F29" s="7">
        <f t="shared" si="4"/>
        <v>1.173328128</v>
      </c>
      <c r="G29" s="7">
        <f t="shared" si="5"/>
        <v>1.315549719</v>
      </c>
    </row>
    <row r="30">
      <c r="A30" s="10" t="s">
        <v>35</v>
      </c>
      <c r="B30" s="11">
        <v>1.1646786265432099</v>
      </c>
      <c r="C30" s="7">
        <f t="shared" si="1"/>
        <v>1.514082215</v>
      </c>
      <c r="D30" s="8">
        <f t="shared" si="2"/>
        <v>1.74701794</v>
      </c>
      <c r="E30" s="6">
        <f t="shared" si="3"/>
        <v>2.19701794</v>
      </c>
      <c r="F30" s="7">
        <f t="shared" si="4"/>
        <v>1.921719734</v>
      </c>
      <c r="G30" s="7">
        <f t="shared" si="5"/>
        <v>2.154655459</v>
      </c>
    </row>
    <row r="31">
      <c r="A31" s="10" t="s">
        <v>36</v>
      </c>
      <c r="B31" s="11">
        <v>0.8886926674148897</v>
      </c>
      <c r="C31" s="7">
        <f t="shared" si="1"/>
        <v>1.155300468</v>
      </c>
      <c r="D31" s="8">
        <f t="shared" si="2"/>
        <v>1.333039001</v>
      </c>
      <c r="E31" s="6">
        <f t="shared" si="3"/>
        <v>1.783039001</v>
      </c>
      <c r="F31" s="7">
        <f t="shared" si="4"/>
        <v>1.466342901</v>
      </c>
      <c r="G31" s="7">
        <f t="shared" si="5"/>
        <v>1.644081435</v>
      </c>
    </row>
    <row r="32">
      <c r="A32" s="10" t="s">
        <v>37</v>
      </c>
      <c r="B32" s="11">
        <v>0.4579809670781893</v>
      </c>
      <c r="C32" s="7">
        <f t="shared" si="1"/>
        <v>0.5953752572</v>
      </c>
      <c r="D32" s="8">
        <f t="shared" si="2"/>
        <v>0.6869714506</v>
      </c>
      <c r="E32" s="6">
        <f t="shared" si="3"/>
        <v>1.136971451</v>
      </c>
      <c r="F32" s="7">
        <f t="shared" si="4"/>
        <v>0.7556685957</v>
      </c>
      <c r="G32" s="7">
        <f t="shared" si="5"/>
        <v>0.8472647891</v>
      </c>
    </row>
    <row r="33">
      <c r="A33" s="10" t="s">
        <v>38</v>
      </c>
      <c r="B33" s="11">
        <v>0.30978078887419164</v>
      </c>
      <c r="C33" s="7">
        <f t="shared" si="1"/>
        <v>0.4027150255</v>
      </c>
      <c r="D33" s="8">
        <f t="shared" si="2"/>
        <v>0.4646711833</v>
      </c>
      <c r="E33" s="6">
        <f t="shared" si="3"/>
        <v>0.9146711833</v>
      </c>
      <c r="F33" s="7">
        <f t="shared" si="4"/>
        <v>0.5111383016</v>
      </c>
      <c r="G33" s="7">
        <f t="shared" si="5"/>
        <v>0.5730944594</v>
      </c>
    </row>
    <row r="34">
      <c r="A34" s="10" t="s">
        <v>39</v>
      </c>
      <c r="B34" s="11">
        <v>1.2946286265432099</v>
      </c>
      <c r="C34" s="7">
        <f t="shared" si="1"/>
        <v>1.683017215</v>
      </c>
      <c r="D34" s="8">
        <f t="shared" si="2"/>
        <v>1.94194294</v>
      </c>
      <c r="E34" s="6">
        <f t="shared" si="3"/>
        <v>2.39194294</v>
      </c>
      <c r="F34" s="7">
        <f t="shared" si="4"/>
        <v>2.136137234</v>
      </c>
      <c r="G34" s="7">
        <f t="shared" si="5"/>
        <v>2.395062959</v>
      </c>
    </row>
    <row r="35">
      <c r="A35" s="10" t="s">
        <v>40</v>
      </c>
      <c r="B35" s="11">
        <v>0.6330868989328311</v>
      </c>
      <c r="C35" s="7">
        <f t="shared" si="1"/>
        <v>0.8230129686</v>
      </c>
      <c r="D35" s="8">
        <f t="shared" si="2"/>
        <v>0.9496303484</v>
      </c>
      <c r="E35" s="6">
        <f t="shared" si="3"/>
        <v>1.399630348</v>
      </c>
      <c r="F35" s="7">
        <f t="shared" si="4"/>
        <v>1.044593383</v>
      </c>
      <c r="G35" s="7">
        <f t="shared" si="5"/>
        <v>1.171210763</v>
      </c>
    </row>
    <row r="36">
      <c r="A36" s="10" t="s">
        <v>41</v>
      </c>
      <c r="B36" s="11">
        <v>0.5397522439088118</v>
      </c>
      <c r="C36" s="7">
        <f t="shared" si="1"/>
        <v>0.7016779171</v>
      </c>
      <c r="D36" s="8">
        <f t="shared" si="2"/>
        <v>0.8096283659</v>
      </c>
      <c r="E36" s="6">
        <f t="shared" si="3"/>
        <v>1.259628366</v>
      </c>
      <c r="F36" s="7">
        <f t="shared" si="4"/>
        <v>0.8905912024</v>
      </c>
      <c r="G36" s="7">
        <f t="shared" si="5"/>
        <v>0.9985416512</v>
      </c>
    </row>
    <row r="37">
      <c r="A37" s="10" t="s">
        <v>42</v>
      </c>
      <c r="B37" s="11">
        <v>0.7996764920156734</v>
      </c>
      <c r="C37" s="7">
        <f t="shared" si="1"/>
        <v>1.03957944</v>
      </c>
      <c r="D37" s="8">
        <f t="shared" si="2"/>
        <v>1.199514738</v>
      </c>
      <c r="E37" s="6">
        <f t="shared" si="3"/>
        <v>1.649514738</v>
      </c>
      <c r="F37" s="7">
        <f t="shared" si="4"/>
        <v>1.319466212</v>
      </c>
      <c r="G37" s="7">
        <f t="shared" si="5"/>
        <v>1.47940151</v>
      </c>
    </row>
    <row r="38">
      <c r="A38" s="10" t="s">
        <v>43</v>
      </c>
      <c r="B38" s="11">
        <v>1.035719922536916</v>
      </c>
      <c r="C38" s="7">
        <f t="shared" si="1"/>
        <v>1.346435899</v>
      </c>
      <c r="D38" s="8">
        <f t="shared" si="2"/>
        <v>1.553579884</v>
      </c>
      <c r="E38" s="6">
        <f t="shared" si="3"/>
        <v>2.003579884</v>
      </c>
      <c r="F38" s="7">
        <f t="shared" si="4"/>
        <v>1.708937872</v>
      </c>
      <c r="G38" s="7">
        <f t="shared" si="5"/>
        <v>1.916081857</v>
      </c>
    </row>
    <row r="39">
      <c r="A39" s="10" t="s">
        <v>44</v>
      </c>
      <c r="B39" s="11">
        <v>0.29299468982439997</v>
      </c>
      <c r="C39" s="7">
        <f t="shared" si="1"/>
        <v>0.3808930968</v>
      </c>
      <c r="D39" s="8">
        <f t="shared" si="2"/>
        <v>0.4394920347</v>
      </c>
      <c r="E39" s="6">
        <f t="shared" si="3"/>
        <v>0.8894920347</v>
      </c>
      <c r="F39" s="7">
        <f t="shared" si="4"/>
        <v>0.4834412382</v>
      </c>
      <c r="G39" s="7">
        <f t="shared" si="5"/>
        <v>0.5420401762</v>
      </c>
    </row>
    <row r="40">
      <c r="A40" s="10" t="s">
        <v>45</v>
      </c>
      <c r="B40" s="11">
        <v>0.5800303424079349</v>
      </c>
      <c r="C40" s="7">
        <f t="shared" si="1"/>
        <v>0.7540394451</v>
      </c>
      <c r="D40" s="8">
        <f t="shared" si="2"/>
        <v>0.8700455136</v>
      </c>
      <c r="E40" s="6">
        <f t="shared" si="3"/>
        <v>1.320045514</v>
      </c>
      <c r="F40" s="7">
        <f t="shared" si="4"/>
        <v>0.957050065</v>
      </c>
      <c r="G40" s="7">
        <f t="shared" si="5"/>
        <v>1.073056133</v>
      </c>
    </row>
    <row r="41">
      <c r="A41" s="10" t="s">
        <v>46</v>
      </c>
      <c r="B41" s="11">
        <v>0.5116396254208754</v>
      </c>
      <c r="C41" s="7">
        <f t="shared" si="1"/>
        <v>0.665131513</v>
      </c>
      <c r="D41" s="8">
        <f t="shared" si="2"/>
        <v>0.7674594381</v>
      </c>
      <c r="E41" s="6">
        <f t="shared" si="3"/>
        <v>1.217459438</v>
      </c>
      <c r="F41" s="7">
        <f t="shared" si="4"/>
        <v>0.8442053819</v>
      </c>
      <c r="G41" s="7">
        <f t="shared" si="5"/>
        <v>0.946533307</v>
      </c>
    </row>
    <row r="42">
      <c r="A42" s="10" t="s">
        <v>47</v>
      </c>
      <c r="B42" s="11">
        <v>0.6002237230362231</v>
      </c>
      <c r="C42" s="7">
        <f t="shared" si="1"/>
        <v>0.7802908399</v>
      </c>
      <c r="D42" s="8">
        <f t="shared" si="2"/>
        <v>0.9003355846</v>
      </c>
      <c r="E42" s="6">
        <f t="shared" si="3"/>
        <v>1.350335585</v>
      </c>
      <c r="F42" s="7">
        <f t="shared" si="4"/>
        <v>0.990369143</v>
      </c>
      <c r="G42" s="7">
        <f t="shared" si="5"/>
        <v>1.110413888</v>
      </c>
    </row>
    <row r="43">
      <c r="A43" s="10" t="s">
        <v>48</v>
      </c>
      <c r="B43" s="11">
        <v>0.45378758826077537</v>
      </c>
      <c r="C43" s="7">
        <f t="shared" si="1"/>
        <v>0.5899238647</v>
      </c>
      <c r="D43" s="8">
        <f t="shared" si="2"/>
        <v>0.6806813824</v>
      </c>
      <c r="E43" s="6">
        <f t="shared" si="3"/>
        <v>1.130681382</v>
      </c>
      <c r="F43" s="7">
        <f t="shared" si="4"/>
        <v>0.7487495206</v>
      </c>
      <c r="G43" s="7">
        <f t="shared" si="5"/>
        <v>0.8395070383</v>
      </c>
    </row>
    <row r="44">
      <c r="A44" s="10" t="s">
        <v>49</v>
      </c>
      <c r="B44" s="11">
        <v>0.4512262088477366</v>
      </c>
      <c r="C44" s="7">
        <f t="shared" si="1"/>
        <v>0.5865940715</v>
      </c>
      <c r="D44" s="8">
        <f t="shared" si="2"/>
        <v>0.6768393133</v>
      </c>
      <c r="E44" s="6">
        <f t="shared" si="3"/>
        <v>1.126839313</v>
      </c>
      <c r="F44" s="7">
        <f t="shared" si="4"/>
        <v>0.7445232446</v>
      </c>
      <c r="G44" s="7">
        <f t="shared" si="5"/>
        <v>0.8347684864</v>
      </c>
    </row>
    <row r="45">
      <c r="A45" s="10" t="s">
        <v>50</v>
      </c>
      <c r="B45" s="11">
        <v>0.7219619341563785</v>
      </c>
      <c r="C45" s="7">
        <f t="shared" si="1"/>
        <v>0.9385505144</v>
      </c>
      <c r="D45" s="8">
        <f t="shared" si="2"/>
        <v>1.082942901</v>
      </c>
      <c r="E45" s="6">
        <f t="shared" si="3"/>
        <v>1.532942901</v>
      </c>
      <c r="F45" s="7">
        <f t="shared" si="4"/>
        <v>1.191237191</v>
      </c>
      <c r="G45" s="7">
        <f t="shared" si="5"/>
        <v>1.335629578</v>
      </c>
    </row>
    <row r="46">
      <c r="A46" s="10" t="s">
        <v>51</v>
      </c>
      <c r="B46" s="11">
        <v>0.5461540526033279</v>
      </c>
      <c r="C46" s="7">
        <f t="shared" si="1"/>
        <v>0.7100002684</v>
      </c>
      <c r="D46" s="8">
        <f t="shared" si="2"/>
        <v>0.8192310789</v>
      </c>
      <c r="E46" s="6">
        <f t="shared" si="3"/>
        <v>1.269231079</v>
      </c>
      <c r="F46" s="7">
        <f t="shared" si="4"/>
        <v>0.9011541868</v>
      </c>
      <c r="G46" s="7">
        <f t="shared" si="5"/>
        <v>1.010384997</v>
      </c>
    </row>
    <row r="47">
      <c r="A47" s="10" t="s">
        <v>52</v>
      </c>
      <c r="B47" s="11">
        <v>0.5393644494834972</v>
      </c>
      <c r="C47" s="7">
        <f t="shared" si="1"/>
        <v>0.7011737843</v>
      </c>
      <c r="D47" s="8">
        <f t="shared" si="2"/>
        <v>0.8090466742</v>
      </c>
      <c r="E47" s="6">
        <f t="shared" si="3"/>
        <v>1.259046674</v>
      </c>
      <c r="F47" s="7">
        <f t="shared" si="4"/>
        <v>0.8899513416</v>
      </c>
      <c r="G47" s="7">
        <f t="shared" si="5"/>
        <v>0.9978242315</v>
      </c>
    </row>
    <row r="48">
      <c r="A48" s="10" t="s">
        <v>53</v>
      </c>
      <c r="B48" s="11">
        <v>0.5547100394557113</v>
      </c>
      <c r="C48" s="7">
        <f t="shared" si="1"/>
        <v>0.7211230513</v>
      </c>
      <c r="D48" s="8">
        <f t="shared" si="2"/>
        <v>0.8320650592</v>
      </c>
      <c r="E48" s="6">
        <f t="shared" si="3"/>
        <v>1.282065059</v>
      </c>
      <c r="F48" s="7">
        <f t="shared" si="4"/>
        <v>0.9152715651</v>
      </c>
      <c r="G48" s="7">
        <f t="shared" si="5"/>
        <v>1.026213573</v>
      </c>
    </row>
    <row r="49">
      <c r="A49" s="10" t="s">
        <v>54</v>
      </c>
      <c r="B49" s="11">
        <v>0.6330238864838865</v>
      </c>
      <c r="C49" s="7">
        <f t="shared" si="1"/>
        <v>0.8229310524</v>
      </c>
      <c r="D49" s="8">
        <f t="shared" si="2"/>
        <v>0.9495358297</v>
      </c>
      <c r="E49" s="6">
        <f t="shared" si="3"/>
        <v>1.39953583</v>
      </c>
      <c r="F49" s="7">
        <f t="shared" si="4"/>
        <v>1.044489413</v>
      </c>
      <c r="G49" s="7">
        <f t="shared" si="5"/>
        <v>1.17109419</v>
      </c>
    </row>
    <row r="50">
      <c r="A50" s="10" t="s">
        <v>55</v>
      </c>
      <c r="B50" s="11">
        <v>0.6010106348033176</v>
      </c>
      <c r="C50" s="7">
        <f t="shared" si="1"/>
        <v>0.7813138252</v>
      </c>
      <c r="D50" s="8">
        <f t="shared" si="2"/>
        <v>0.9015159522</v>
      </c>
      <c r="E50" s="6">
        <f t="shared" si="3"/>
        <v>1.351515952</v>
      </c>
      <c r="F50" s="7">
        <f t="shared" si="4"/>
        <v>0.9916675474</v>
      </c>
      <c r="G50" s="7">
        <f t="shared" si="5"/>
        <v>1.111869674</v>
      </c>
    </row>
    <row r="51">
      <c r="A51" s="10" t="s">
        <v>56</v>
      </c>
      <c r="B51" s="11">
        <v>0.5554350394557113</v>
      </c>
      <c r="C51" s="7">
        <f t="shared" si="1"/>
        <v>0.7220655513</v>
      </c>
      <c r="D51" s="8">
        <f t="shared" si="2"/>
        <v>0.8331525592</v>
      </c>
      <c r="E51" s="6">
        <f t="shared" si="3"/>
        <v>1.283152559</v>
      </c>
      <c r="F51" s="7">
        <f t="shared" si="4"/>
        <v>0.9164678151</v>
      </c>
      <c r="G51" s="7">
        <f t="shared" si="5"/>
        <v>1.027554823</v>
      </c>
    </row>
    <row r="52">
      <c r="A52" s="10" t="s">
        <v>57</v>
      </c>
      <c r="B52" s="11">
        <v>0.5547100394557113</v>
      </c>
      <c r="C52" s="7">
        <f t="shared" si="1"/>
        <v>0.7211230513</v>
      </c>
      <c r="D52" s="8">
        <f t="shared" si="2"/>
        <v>0.8320650592</v>
      </c>
      <c r="E52" s="6">
        <f t="shared" si="3"/>
        <v>1.282065059</v>
      </c>
      <c r="F52" s="7">
        <f t="shared" si="4"/>
        <v>0.9152715651</v>
      </c>
      <c r="G52" s="7">
        <f t="shared" si="5"/>
        <v>1.026213573</v>
      </c>
    </row>
    <row r="53">
      <c r="A53" s="10" t="s">
        <v>58</v>
      </c>
      <c r="B53" s="11">
        <v>0.6501762971276551</v>
      </c>
      <c r="C53" s="7">
        <f t="shared" si="1"/>
        <v>0.8452291863</v>
      </c>
      <c r="D53" s="8">
        <f t="shared" si="2"/>
        <v>0.9752644457</v>
      </c>
      <c r="E53" s="6">
        <f t="shared" si="3"/>
        <v>1.425264446</v>
      </c>
      <c r="F53" s="7">
        <f t="shared" si="4"/>
        <v>1.07279089</v>
      </c>
      <c r="G53" s="7">
        <f t="shared" si="5"/>
        <v>1.20282615</v>
      </c>
    </row>
    <row r="54">
      <c r="A54" s="10" t="s">
        <v>59</v>
      </c>
      <c r="B54" s="11">
        <v>0.6496762971276552</v>
      </c>
      <c r="C54" s="7">
        <f t="shared" si="1"/>
        <v>0.8445791863</v>
      </c>
      <c r="D54" s="8">
        <f t="shared" si="2"/>
        <v>0.9745144457</v>
      </c>
      <c r="E54" s="6">
        <f t="shared" si="3"/>
        <v>1.424514446</v>
      </c>
      <c r="F54" s="7">
        <f t="shared" si="4"/>
        <v>1.07196589</v>
      </c>
      <c r="G54" s="7">
        <f t="shared" si="5"/>
        <v>1.20190115</v>
      </c>
    </row>
    <row r="55">
      <c r="A55" s="10" t="s">
        <v>60</v>
      </c>
      <c r="B55" s="11">
        <v>0.6498612971276552</v>
      </c>
      <c r="C55" s="7">
        <f t="shared" si="1"/>
        <v>0.8448196863</v>
      </c>
      <c r="D55" s="8">
        <f t="shared" si="2"/>
        <v>0.9747919457</v>
      </c>
      <c r="E55" s="6">
        <f t="shared" si="3"/>
        <v>1.424791946</v>
      </c>
      <c r="F55" s="7">
        <f t="shared" si="4"/>
        <v>1.07227114</v>
      </c>
      <c r="G55" s="7">
        <f t="shared" si="5"/>
        <v>1.2022434</v>
      </c>
    </row>
    <row r="56">
      <c r="A56" s="10" t="s">
        <v>61</v>
      </c>
      <c r="B56" s="11">
        <v>2.54470539452496</v>
      </c>
      <c r="C56" s="7">
        <f t="shared" si="1"/>
        <v>3.308117013</v>
      </c>
      <c r="D56" s="8">
        <f t="shared" si="2"/>
        <v>3.817058092</v>
      </c>
      <c r="E56" s="6">
        <f t="shared" si="3"/>
        <v>4.267058092</v>
      </c>
      <c r="F56" s="7">
        <f t="shared" si="4"/>
        <v>4.198763901</v>
      </c>
      <c r="G56" s="7">
        <f t="shared" si="5"/>
        <v>4.70770498</v>
      </c>
    </row>
    <row r="57">
      <c r="A57" s="10" t="s">
        <v>62</v>
      </c>
      <c r="B57" s="11">
        <v>2.544876149002849</v>
      </c>
      <c r="C57" s="7">
        <f t="shared" si="1"/>
        <v>3.308338994</v>
      </c>
      <c r="D57" s="8">
        <f t="shared" si="2"/>
        <v>3.817314224</v>
      </c>
      <c r="E57" s="6">
        <f t="shared" si="3"/>
        <v>4.267314224</v>
      </c>
      <c r="F57" s="7">
        <f t="shared" si="4"/>
        <v>4.199045646</v>
      </c>
      <c r="G57" s="7">
        <f t="shared" si="5"/>
        <v>4.708020876</v>
      </c>
    </row>
    <row r="58">
      <c r="A58" s="10" t="s">
        <v>63</v>
      </c>
      <c r="B58" s="11">
        <v>0.5553600394557113</v>
      </c>
      <c r="C58" s="7">
        <f t="shared" si="1"/>
        <v>0.7219680513</v>
      </c>
      <c r="D58" s="8">
        <f t="shared" si="2"/>
        <v>0.8330400592</v>
      </c>
      <c r="E58" s="6">
        <f t="shared" si="3"/>
        <v>1.283040059</v>
      </c>
      <c r="F58" s="7">
        <f t="shared" si="4"/>
        <v>0.9163440651</v>
      </c>
      <c r="G58" s="7">
        <f t="shared" si="5"/>
        <v>1.027416073</v>
      </c>
    </row>
    <row r="59">
      <c r="A59" s="10" t="s">
        <v>64</v>
      </c>
      <c r="B59" s="11">
        <v>0.6501062971276552</v>
      </c>
      <c r="C59" s="7">
        <f t="shared" si="1"/>
        <v>0.8451381863</v>
      </c>
      <c r="D59" s="8">
        <f t="shared" si="2"/>
        <v>0.9751594457</v>
      </c>
      <c r="E59" s="6">
        <f t="shared" si="3"/>
        <v>1.425159446</v>
      </c>
      <c r="F59" s="7">
        <f t="shared" si="4"/>
        <v>1.07267539</v>
      </c>
      <c r="G59" s="7">
        <f t="shared" si="5"/>
        <v>1.20269665</v>
      </c>
    </row>
    <row r="60">
      <c r="A60" s="10" t="s">
        <v>65</v>
      </c>
      <c r="B60" s="11">
        <v>2.5451631520882585</v>
      </c>
      <c r="C60" s="7">
        <f t="shared" si="1"/>
        <v>3.308712098</v>
      </c>
      <c r="D60" s="8">
        <f t="shared" si="2"/>
        <v>3.817744728</v>
      </c>
      <c r="E60" s="6">
        <f t="shared" si="3"/>
        <v>4.267744728</v>
      </c>
      <c r="F60" s="7">
        <f t="shared" si="4"/>
        <v>4.199519201</v>
      </c>
      <c r="G60" s="7">
        <f t="shared" si="5"/>
        <v>4.708551831</v>
      </c>
    </row>
    <row r="61">
      <c r="A61" s="10" t="s">
        <v>66</v>
      </c>
      <c r="B61" s="11">
        <v>0.5549550394557112</v>
      </c>
      <c r="C61" s="7">
        <f t="shared" si="1"/>
        <v>0.7214415513</v>
      </c>
      <c r="D61" s="8">
        <f t="shared" si="2"/>
        <v>0.8324325592</v>
      </c>
      <c r="E61" s="6">
        <f t="shared" si="3"/>
        <v>1.282432559</v>
      </c>
      <c r="F61" s="7">
        <f t="shared" si="4"/>
        <v>0.9156758151</v>
      </c>
      <c r="G61" s="7">
        <f t="shared" si="5"/>
        <v>1.026666823</v>
      </c>
    </row>
    <row r="62">
      <c r="A62" s="10" t="s">
        <v>67</v>
      </c>
      <c r="B62" s="11">
        <v>0.5549550394557112</v>
      </c>
      <c r="C62" s="7">
        <f t="shared" si="1"/>
        <v>0.7214415513</v>
      </c>
      <c r="D62" s="8">
        <f t="shared" si="2"/>
        <v>0.8324325592</v>
      </c>
      <c r="E62" s="6">
        <f t="shared" si="3"/>
        <v>1.282432559</v>
      </c>
      <c r="F62" s="7">
        <f t="shared" si="4"/>
        <v>0.9156758151</v>
      </c>
      <c r="G62" s="7">
        <f t="shared" si="5"/>
        <v>1.026666823</v>
      </c>
    </row>
    <row r="63">
      <c r="A63" s="10" t="s">
        <v>68</v>
      </c>
      <c r="B63" s="11">
        <v>0.5549850394557113</v>
      </c>
      <c r="C63" s="7">
        <f t="shared" si="1"/>
        <v>0.7214805513</v>
      </c>
      <c r="D63" s="8">
        <f t="shared" si="2"/>
        <v>0.8324775592</v>
      </c>
      <c r="E63" s="6">
        <f t="shared" si="3"/>
        <v>1.282477559</v>
      </c>
      <c r="F63" s="7">
        <f t="shared" si="4"/>
        <v>0.9157253151</v>
      </c>
      <c r="G63" s="7">
        <f t="shared" si="5"/>
        <v>1.026722323</v>
      </c>
    </row>
    <row r="64">
      <c r="A64" s="10" t="s">
        <v>69</v>
      </c>
      <c r="B64" s="11">
        <v>0.6497562971276551</v>
      </c>
      <c r="C64" s="7">
        <f t="shared" si="1"/>
        <v>0.8446831863</v>
      </c>
      <c r="D64" s="8">
        <f t="shared" si="2"/>
        <v>0.9746344457</v>
      </c>
      <c r="E64" s="6">
        <f t="shared" si="3"/>
        <v>1.424634446</v>
      </c>
      <c r="F64" s="7">
        <f t="shared" si="4"/>
        <v>1.07209789</v>
      </c>
      <c r="G64" s="7">
        <f t="shared" si="5"/>
        <v>1.20204915</v>
      </c>
    </row>
    <row r="65">
      <c r="A65" s="10" t="s">
        <v>70</v>
      </c>
      <c r="B65" s="11">
        <v>0.6502112971276551</v>
      </c>
      <c r="C65" s="7">
        <f t="shared" si="1"/>
        <v>0.8452746863</v>
      </c>
      <c r="D65" s="8">
        <f t="shared" si="2"/>
        <v>0.9753169457</v>
      </c>
      <c r="E65" s="6">
        <f t="shared" si="3"/>
        <v>1.425316946</v>
      </c>
      <c r="F65" s="7">
        <f t="shared" si="4"/>
        <v>1.07284864</v>
      </c>
      <c r="G65" s="7">
        <f t="shared" si="5"/>
        <v>1.2028909</v>
      </c>
    </row>
    <row r="66">
      <c r="A66" s="10" t="s">
        <v>71</v>
      </c>
      <c r="B66" s="11">
        <v>0.6496762971276552</v>
      </c>
      <c r="C66" s="7">
        <f t="shared" si="1"/>
        <v>0.8445791863</v>
      </c>
      <c r="D66" s="8">
        <f t="shared" si="2"/>
        <v>0.9745144457</v>
      </c>
      <c r="E66" s="6">
        <f t="shared" si="3"/>
        <v>1.424514446</v>
      </c>
      <c r="F66" s="7">
        <f t="shared" si="4"/>
        <v>1.07196589</v>
      </c>
      <c r="G66" s="7">
        <f t="shared" si="5"/>
        <v>1.20190115</v>
      </c>
    </row>
    <row r="67">
      <c r="A67" s="10" t="s">
        <v>72</v>
      </c>
      <c r="B67" s="11">
        <v>0.6213055618543715</v>
      </c>
      <c r="C67" s="7">
        <f t="shared" si="1"/>
        <v>0.8076972304</v>
      </c>
      <c r="D67" s="8">
        <f t="shared" si="2"/>
        <v>0.9319583428</v>
      </c>
      <c r="E67" s="6">
        <f t="shared" si="3"/>
        <v>1.381958343</v>
      </c>
      <c r="F67" s="7">
        <f t="shared" si="4"/>
        <v>1.025154177</v>
      </c>
      <c r="G67" s="7">
        <f t="shared" si="5"/>
        <v>1.149415289</v>
      </c>
    </row>
    <row r="68">
      <c r="A68" s="10" t="s">
        <v>73</v>
      </c>
      <c r="B68" s="11">
        <v>0.6859961991145664</v>
      </c>
      <c r="C68" s="7">
        <f t="shared" si="1"/>
        <v>0.8917950588</v>
      </c>
      <c r="D68" s="8">
        <f t="shared" si="2"/>
        <v>1.028994299</v>
      </c>
      <c r="E68" s="6">
        <f t="shared" si="3"/>
        <v>1.478994299</v>
      </c>
      <c r="F68" s="7">
        <f t="shared" si="4"/>
        <v>1.131893729</v>
      </c>
      <c r="G68" s="7">
        <f t="shared" si="5"/>
        <v>1.269092968</v>
      </c>
    </row>
    <row r="69">
      <c r="A69" s="10" t="s">
        <v>74</v>
      </c>
      <c r="B69" s="11">
        <v>0.3908243813799369</v>
      </c>
      <c r="C69" s="7">
        <f t="shared" si="1"/>
        <v>0.5080716958</v>
      </c>
      <c r="D69" s="8">
        <f t="shared" si="2"/>
        <v>0.5862365721</v>
      </c>
      <c r="E69" s="6">
        <f t="shared" si="3"/>
        <v>1.036236572</v>
      </c>
      <c r="F69" s="7">
        <f t="shared" si="4"/>
        <v>0.6448602293</v>
      </c>
      <c r="G69" s="7">
        <f t="shared" si="5"/>
        <v>0.7230251056</v>
      </c>
    </row>
    <row r="70">
      <c r="A70" s="10" t="s">
        <v>75</v>
      </c>
      <c r="B70" s="11">
        <v>0.5416949512269471</v>
      </c>
      <c r="C70" s="7">
        <f t="shared" si="1"/>
        <v>0.7042034366</v>
      </c>
      <c r="D70" s="8">
        <f t="shared" si="2"/>
        <v>0.8125424268</v>
      </c>
      <c r="E70" s="6">
        <f t="shared" si="3"/>
        <v>1.262542427</v>
      </c>
      <c r="F70" s="7">
        <f t="shared" si="4"/>
        <v>0.8937966695</v>
      </c>
      <c r="G70" s="7">
        <f t="shared" si="5"/>
        <v>1.00213566</v>
      </c>
    </row>
    <row r="71">
      <c r="A71" s="10" t="s">
        <v>76</v>
      </c>
      <c r="B71" s="11">
        <v>1.096474678760393</v>
      </c>
      <c r="C71" s="7">
        <f t="shared" si="1"/>
        <v>1.425417082</v>
      </c>
      <c r="D71" s="8">
        <f t="shared" si="2"/>
        <v>1.644712018</v>
      </c>
      <c r="E71" s="6">
        <f t="shared" si="3"/>
        <v>2.094712018</v>
      </c>
      <c r="F71" s="7">
        <f t="shared" si="4"/>
        <v>1.80918322</v>
      </c>
      <c r="G71" s="7">
        <f t="shared" si="5"/>
        <v>2.028478156</v>
      </c>
    </row>
    <row r="72">
      <c r="A72" s="10" t="s">
        <v>77</v>
      </c>
      <c r="B72" s="11">
        <v>0.538722826327112</v>
      </c>
      <c r="C72" s="7">
        <f t="shared" si="1"/>
        <v>0.7003396742</v>
      </c>
      <c r="D72" s="8">
        <f t="shared" si="2"/>
        <v>0.8080842395</v>
      </c>
      <c r="E72" s="6">
        <f t="shared" si="3"/>
        <v>1.258084239</v>
      </c>
      <c r="F72" s="7">
        <f t="shared" si="4"/>
        <v>0.8888926634</v>
      </c>
      <c r="G72" s="7">
        <f t="shared" si="5"/>
        <v>0.9966372287</v>
      </c>
    </row>
    <row r="73">
      <c r="A73" s="10" t="s">
        <v>78</v>
      </c>
      <c r="B73" s="11">
        <v>0.46626292848403955</v>
      </c>
      <c r="C73" s="7">
        <f t="shared" si="1"/>
        <v>0.606141807</v>
      </c>
      <c r="D73" s="8">
        <f t="shared" si="2"/>
        <v>0.6993943927</v>
      </c>
      <c r="E73" s="6">
        <f t="shared" si="3"/>
        <v>1.149394393</v>
      </c>
      <c r="F73" s="7">
        <f t="shared" si="4"/>
        <v>0.769333832</v>
      </c>
      <c r="G73" s="7">
        <f t="shared" si="5"/>
        <v>0.8625864177</v>
      </c>
    </row>
    <row r="74">
      <c r="A74" s="10" t="s">
        <v>79</v>
      </c>
      <c r="B74" s="11">
        <v>0.6397338864838864</v>
      </c>
      <c r="C74" s="7">
        <f t="shared" si="1"/>
        <v>0.8316540524</v>
      </c>
      <c r="D74" s="8">
        <f t="shared" si="2"/>
        <v>0.9596008297</v>
      </c>
      <c r="E74" s="6">
        <f t="shared" si="3"/>
        <v>1.40960083</v>
      </c>
      <c r="F74" s="7">
        <f t="shared" si="4"/>
        <v>1.055560913</v>
      </c>
      <c r="G74" s="7">
        <f t="shared" si="5"/>
        <v>1.18350769</v>
      </c>
    </row>
    <row r="75">
      <c r="A75" s="10" t="s">
        <v>80</v>
      </c>
      <c r="B75" s="11">
        <v>0.7752838864838865</v>
      </c>
      <c r="C75" s="7">
        <f t="shared" si="1"/>
        <v>1.007869052</v>
      </c>
      <c r="D75" s="8">
        <f t="shared" si="2"/>
        <v>1.16292583</v>
      </c>
      <c r="E75" s="6">
        <f t="shared" si="3"/>
        <v>1.61292583</v>
      </c>
      <c r="F75" s="7">
        <f t="shared" si="4"/>
        <v>1.279218413</v>
      </c>
      <c r="G75" s="7">
        <f t="shared" si="5"/>
        <v>1.43427519</v>
      </c>
    </row>
    <row r="76">
      <c r="A76" s="10" t="s">
        <v>81</v>
      </c>
      <c r="B76" s="11">
        <v>0.7749445464748494</v>
      </c>
      <c r="C76" s="7">
        <f t="shared" si="1"/>
        <v>1.00742791</v>
      </c>
      <c r="D76" s="8">
        <f t="shared" si="2"/>
        <v>1.16241682</v>
      </c>
      <c r="E76" s="6">
        <f t="shared" si="3"/>
        <v>1.61241682</v>
      </c>
      <c r="F76" s="7">
        <f t="shared" si="4"/>
        <v>1.278658502</v>
      </c>
      <c r="G76" s="7">
        <f t="shared" si="5"/>
        <v>1.433647411</v>
      </c>
    </row>
    <row r="77">
      <c r="A77" s="10" t="s">
        <v>82</v>
      </c>
      <c r="B77" s="11">
        <v>0.669471450617284</v>
      </c>
      <c r="C77" s="7">
        <f t="shared" si="1"/>
        <v>0.8703128858</v>
      </c>
      <c r="D77" s="8">
        <f t="shared" si="2"/>
        <v>1.004207176</v>
      </c>
      <c r="E77" s="6">
        <f t="shared" si="3"/>
        <v>1.454207176</v>
      </c>
      <c r="F77" s="7">
        <f t="shared" si="4"/>
        <v>1.104627894</v>
      </c>
      <c r="G77" s="7">
        <f t="shared" si="5"/>
        <v>1.238522184</v>
      </c>
    </row>
    <row r="78">
      <c r="A78" s="10" t="s">
        <v>83</v>
      </c>
      <c r="B78" s="11">
        <v>0.47726101020892686</v>
      </c>
      <c r="C78" s="7">
        <f t="shared" si="1"/>
        <v>0.6204393133</v>
      </c>
      <c r="D78" s="8">
        <f t="shared" si="2"/>
        <v>0.7158915153</v>
      </c>
      <c r="E78" s="6">
        <f t="shared" si="3"/>
        <v>1.165891515</v>
      </c>
      <c r="F78" s="7">
        <f t="shared" si="4"/>
        <v>0.7874806668</v>
      </c>
      <c r="G78" s="7">
        <f t="shared" si="5"/>
        <v>0.8829328689</v>
      </c>
    </row>
    <row r="79">
      <c r="A79" s="10" t="s">
        <v>84</v>
      </c>
      <c r="B79" s="11">
        <v>0.47883390755096183</v>
      </c>
      <c r="C79" s="7">
        <f t="shared" si="1"/>
        <v>0.6224840798</v>
      </c>
      <c r="D79" s="8">
        <f t="shared" si="2"/>
        <v>0.7182508613</v>
      </c>
      <c r="E79" s="6">
        <f t="shared" si="3"/>
        <v>1.168250861</v>
      </c>
      <c r="F79" s="7">
        <f t="shared" si="4"/>
        <v>0.7900759475</v>
      </c>
      <c r="G79" s="7">
        <f t="shared" si="5"/>
        <v>0.885842729</v>
      </c>
    </row>
    <row r="80">
      <c r="A80" s="10" t="s">
        <v>85</v>
      </c>
      <c r="B80" s="11">
        <v>0.6497562971276551</v>
      </c>
      <c r="C80" s="7">
        <f t="shared" si="1"/>
        <v>0.8446831863</v>
      </c>
      <c r="D80" s="8">
        <f t="shared" si="2"/>
        <v>0.9746344457</v>
      </c>
      <c r="E80" s="6">
        <f t="shared" si="3"/>
        <v>1.424634446</v>
      </c>
      <c r="F80" s="7">
        <f t="shared" si="4"/>
        <v>1.07209789</v>
      </c>
      <c r="G80" s="7">
        <f t="shared" si="5"/>
        <v>1.20204915</v>
      </c>
    </row>
    <row r="81">
      <c r="A81" s="10" t="s">
        <v>86</v>
      </c>
      <c r="B81" s="11">
        <v>0.725110229276896</v>
      </c>
      <c r="C81" s="7">
        <f t="shared" si="1"/>
        <v>0.9426432981</v>
      </c>
      <c r="D81" s="8">
        <f t="shared" si="2"/>
        <v>1.087665344</v>
      </c>
      <c r="E81" s="6">
        <f t="shared" si="3"/>
        <v>1.537665344</v>
      </c>
      <c r="F81" s="7">
        <f t="shared" si="4"/>
        <v>1.196431878</v>
      </c>
      <c r="G81" s="7">
        <f t="shared" si="5"/>
        <v>1.341453924</v>
      </c>
    </row>
    <row r="82">
      <c r="A82" s="12" t="s">
        <v>87</v>
      </c>
      <c r="B82" s="13">
        <v>0.68</v>
      </c>
      <c r="C82" s="7">
        <f t="shared" si="1"/>
        <v>0.884</v>
      </c>
      <c r="D82" s="8">
        <f t="shared" si="2"/>
        <v>1.02</v>
      </c>
      <c r="E82" s="6">
        <f t="shared" si="3"/>
        <v>1.47</v>
      </c>
      <c r="F82" s="7">
        <f t="shared" si="4"/>
        <v>1.122</v>
      </c>
      <c r="G82" s="7">
        <f t="shared" si="5"/>
        <v>1.258</v>
      </c>
    </row>
    <row r="83">
      <c r="D83" s="14"/>
      <c r="E83" s="14"/>
    </row>
    <row r="84">
      <c r="D84" s="14"/>
      <c r="E84" s="14"/>
    </row>
    <row r="85">
      <c r="D85" s="14"/>
      <c r="E85" s="14"/>
    </row>
    <row r="86">
      <c r="D86" s="14"/>
      <c r="E86" s="14"/>
    </row>
    <row r="87">
      <c r="D87" s="14"/>
      <c r="E87" s="14"/>
    </row>
    <row r="88">
      <c r="D88" s="14"/>
      <c r="E88" s="14"/>
    </row>
    <row r="89">
      <c r="D89" s="14"/>
      <c r="E89" s="14"/>
    </row>
    <row r="90">
      <c r="D90" s="14"/>
      <c r="E90" s="14"/>
    </row>
    <row r="91">
      <c r="D91" s="14"/>
      <c r="E91" s="14"/>
    </row>
    <row r="92">
      <c r="D92" s="14"/>
      <c r="E92" s="14"/>
    </row>
    <row r="93">
      <c r="D93" s="14"/>
      <c r="E93" s="14"/>
    </row>
    <row r="94">
      <c r="D94" s="14"/>
      <c r="E94" s="14"/>
    </row>
    <row r="95">
      <c r="D95" s="14"/>
      <c r="E95" s="14"/>
    </row>
    <row r="96">
      <c r="D96" s="14"/>
      <c r="E96" s="14"/>
    </row>
    <row r="97">
      <c r="D97" s="14"/>
      <c r="E97" s="14"/>
    </row>
    <row r="98">
      <c r="D98" s="14"/>
      <c r="E98" s="14"/>
    </row>
    <row r="99">
      <c r="D99" s="14"/>
      <c r="E99" s="14"/>
    </row>
    <row r="100">
      <c r="D100" s="14"/>
      <c r="E100" s="14"/>
    </row>
    <row r="101">
      <c r="D101" s="14"/>
      <c r="E101" s="14"/>
    </row>
    <row r="102">
      <c r="D102" s="14"/>
      <c r="E102" s="14"/>
    </row>
    <row r="103">
      <c r="D103" s="14"/>
      <c r="E103" s="14"/>
    </row>
    <row r="104">
      <c r="D104" s="14"/>
      <c r="E104" s="14"/>
    </row>
    <row r="105">
      <c r="D105" s="14"/>
      <c r="E105" s="14"/>
    </row>
    <row r="106">
      <c r="D106" s="14"/>
      <c r="E106" s="14"/>
    </row>
    <row r="107">
      <c r="D107" s="14"/>
      <c r="E107" s="14"/>
    </row>
    <row r="108">
      <c r="D108" s="14"/>
      <c r="E108" s="14"/>
    </row>
    <row r="109">
      <c r="D109" s="14"/>
      <c r="E109" s="14"/>
    </row>
    <row r="110">
      <c r="D110" s="14"/>
      <c r="E110" s="14"/>
    </row>
    <row r="111">
      <c r="D111" s="14"/>
      <c r="E111" s="14"/>
    </row>
    <row r="112">
      <c r="D112" s="14"/>
      <c r="E112" s="14"/>
    </row>
    <row r="113">
      <c r="D113" s="14"/>
      <c r="E113" s="14"/>
    </row>
    <row r="114">
      <c r="D114" s="14"/>
      <c r="E114" s="14"/>
    </row>
    <row r="115">
      <c r="D115" s="14"/>
      <c r="E115" s="14"/>
    </row>
    <row r="116">
      <c r="D116" s="14"/>
      <c r="E116" s="14"/>
    </row>
    <row r="117">
      <c r="D117" s="14"/>
      <c r="E117" s="14"/>
    </row>
    <row r="118">
      <c r="D118" s="14"/>
      <c r="E118" s="14"/>
    </row>
    <row r="119">
      <c r="D119" s="14"/>
      <c r="E119" s="14"/>
    </row>
    <row r="120">
      <c r="D120" s="14"/>
      <c r="E120" s="14"/>
    </row>
    <row r="121">
      <c r="D121" s="14"/>
      <c r="E121" s="14"/>
    </row>
    <row r="122">
      <c r="D122" s="14"/>
      <c r="E122" s="14"/>
    </row>
    <row r="123">
      <c r="D123" s="14"/>
      <c r="E123" s="14"/>
    </row>
    <row r="124">
      <c r="D124" s="14"/>
      <c r="E124" s="14"/>
    </row>
    <row r="125">
      <c r="D125" s="14"/>
      <c r="E125" s="14"/>
    </row>
    <row r="126">
      <c r="D126" s="14"/>
      <c r="E126" s="14"/>
    </row>
    <row r="127">
      <c r="D127" s="14"/>
      <c r="E127" s="14"/>
    </row>
    <row r="128">
      <c r="D128" s="14"/>
      <c r="E128" s="14"/>
    </row>
    <row r="129">
      <c r="D129" s="14"/>
      <c r="E129" s="14"/>
    </row>
    <row r="130">
      <c r="D130" s="14"/>
      <c r="E130" s="14"/>
    </row>
    <row r="131">
      <c r="D131" s="14"/>
      <c r="E131" s="14"/>
    </row>
    <row r="132">
      <c r="D132" s="14"/>
      <c r="E132" s="14"/>
    </row>
    <row r="133">
      <c r="D133" s="14"/>
      <c r="E133" s="14"/>
    </row>
    <row r="134">
      <c r="D134" s="14"/>
      <c r="E134" s="14"/>
    </row>
    <row r="135">
      <c r="D135" s="14"/>
      <c r="E135" s="14"/>
    </row>
    <row r="136">
      <c r="D136" s="14"/>
      <c r="E136" s="14"/>
    </row>
    <row r="137">
      <c r="D137" s="14"/>
      <c r="E137" s="14"/>
    </row>
    <row r="138">
      <c r="D138" s="14"/>
      <c r="E138" s="14"/>
    </row>
    <row r="139">
      <c r="D139" s="14"/>
      <c r="E139" s="14"/>
    </row>
    <row r="140">
      <c r="D140" s="14"/>
      <c r="E140" s="14"/>
    </row>
    <row r="141">
      <c r="D141" s="14"/>
      <c r="E141" s="14"/>
    </row>
    <row r="142">
      <c r="D142" s="14"/>
      <c r="E142" s="14"/>
    </row>
    <row r="143">
      <c r="D143" s="14"/>
      <c r="E143" s="14"/>
    </row>
    <row r="144">
      <c r="D144" s="14"/>
      <c r="E144" s="14"/>
    </row>
    <row r="145">
      <c r="D145" s="14"/>
      <c r="E145" s="14"/>
    </row>
    <row r="146">
      <c r="D146" s="14"/>
      <c r="E146" s="14"/>
    </row>
    <row r="147">
      <c r="D147" s="14"/>
      <c r="E147" s="14"/>
    </row>
    <row r="148">
      <c r="D148" s="14"/>
      <c r="E148" s="14"/>
    </row>
    <row r="149">
      <c r="D149" s="14"/>
      <c r="E149" s="14"/>
    </row>
    <row r="150">
      <c r="D150" s="14"/>
      <c r="E150" s="14"/>
    </row>
    <row r="151">
      <c r="D151" s="14"/>
      <c r="E151" s="14"/>
    </row>
    <row r="152">
      <c r="D152" s="14"/>
      <c r="E152" s="14"/>
    </row>
    <row r="153">
      <c r="D153" s="14"/>
      <c r="E153" s="14"/>
    </row>
    <row r="154">
      <c r="D154" s="14"/>
      <c r="E154" s="14"/>
    </row>
    <row r="155">
      <c r="D155" s="14"/>
      <c r="E155" s="14"/>
    </row>
    <row r="156">
      <c r="D156" s="14"/>
      <c r="E156" s="14"/>
    </row>
    <row r="157">
      <c r="D157" s="14"/>
      <c r="E157" s="14"/>
    </row>
    <row r="158">
      <c r="D158" s="14"/>
      <c r="E158" s="14"/>
    </row>
    <row r="159">
      <c r="D159" s="14"/>
      <c r="E159" s="14"/>
    </row>
    <row r="160">
      <c r="D160" s="14"/>
      <c r="E160" s="14"/>
    </row>
    <row r="161">
      <c r="D161" s="14"/>
      <c r="E161" s="14"/>
    </row>
    <row r="162">
      <c r="D162" s="14"/>
      <c r="E162" s="14"/>
    </row>
    <row r="163">
      <c r="D163" s="14"/>
      <c r="E163" s="14"/>
    </row>
    <row r="164">
      <c r="D164" s="14"/>
      <c r="E164" s="14"/>
    </row>
    <row r="165">
      <c r="D165" s="14"/>
      <c r="E165" s="14"/>
    </row>
    <row r="166">
      <c r="D166" s="14"/>
      <c r="E166" s="14"/>
    </row>
    <row r="167">
      <c r="D167" s="14"/>
      <c r="E167" s="14"/>
    </row>
    <row r="168">
      <c r="D168" s="14"/>
      <c r="E168" s="14"/>
    </row>
    <row r="169">
      <c r="D169" s="14"/>
      <c r="E169" s="14"/>
    </row>
    <row r="170">
      <c r="D170" s="14"/>
      <c r="E170" s="14"/>
    </row>
    <row r="171">
      <c r="D171" s="14"/>
      <c r="E171" s="14"/>
    </row>
    <row r="172">
      <c r="D172" s="14"/>
      <c r="E172" s="14"/>
    </row>
    <row r="173">
      <c r="D173" s="14"/>
      <c r="E173" s="14"/>
    </row>
    <row r="174">
      <c r="D174" s="14"/>
      <c r="E174" s="14"/>
    </row>
    <row r="175">
      <c r="D175" s="14"/>
      <c r="E175" s="14"/>
    </row>
    <row r="176">
      <c r="D176" s="14"/>
      <c r="E176" s="14"/>
    </row>
    <row r="177">
      <c r="D177" s="14"/>
      <c r="E177" s="14"/>
    </row>
    <row r="178">
      <c r="D178" s="14"/>
      <c r="E178" s="14"/>
    </row>
    <row r="179">
      <c r="D179" s="14"/>
      <c r="E179" s="14"/>
    </row>
    <row r="180">
      <c r="D180" s="14"/>
      <c r="E180" s="14"/>
    </row>
    <row r="181">
      <c r="D181" s="14"/>
      <c r="E181" s="14"/>
    </row>
    <row r="182">
      <c r="D182" s="14"/>
      <c r="E182" s="14"/>
    </row>
    <row r="183">
      <c r="D183" s="14"/>
      <c r="E183" s="14"/>
    </row>
    <row r="184">
      <c r="D184" s="14"/>
      <c r="E184" s="14"/>
    </row>
    <row r="185">
      <c r="D185" s="14"/>
      <c r="E185" s="14"/>
    </row>
    <row r="186">
      <c r="D186" s="14"/>
      <c r="E186" s="14"/>
    </row>
    <row r="187">
      <c r="D187" s="14"/>
      <c r="E187" s="14"/>
    </row>
    <row r="188">
      <c r="D188" s="14"/>
      <c r="E188" s="14"/>
    </row>
    <row r="189">
      <c r="D189" s="14"/>
      <c r="E189" s="14"/>
    </row>
    <row r="190">
      <c r="D190" s="14"/>
      <c r="E190" s="14"/>
    </row>
    <row r="191">
      <c r="D191" s="14"/>
      <c r="E191" s="14"/>
    </row>
    <row r="192">
      <c r="D192" s="14"/>
      <c r="E192" s="14"/>
    </row>
    <row r="193">
      <c r="D193" s="14"/>
      <c r="E193" s="14"/>
    </row>
    <row r="194">
      <c r="D194" s="14"/>
      <c r="E194" s="14"/>
    </row>
    <row r="195">
      <c r="D195" s="14"/>
      <c r="E195" s="14"/>
    </row>
    <row r="196">
      <c r="D196" s="14"/>
      <c r="E196" s="14"/>
    </row>
    <row r="197">
      <c r="D197" s="14"/>
      <c r="E197" s="14"/>
    </row>
    <row r="198">
      <c r="D198" s="14"/>
      <c r="E198" s="14"/>
    </row>
    <row r="199">
      <c r="D199" s="14"/>
      <c r="E199" s="14"/>
    </row>
    <row r="200">
      <c r="D200" s="14"/>
      <c r="E200" s="14"/>
    </row>
    <row r="201">
      <c r="D201" s="14"/>
      <c r="E201" s="14"/>
    </row>
    <row r="202">
      <c r="D202" s="14"/>
      <c r="E202" s="14"/>
    </row>
    <row r="203">
      <c r="D203" s="14"/>
      <c r="E203" s="14"/>
    </row>
    <row r="204">
      <c r="D204" s="14"/>
      <c r="E204" s="14"/>
    </row>
    <row r="205">
      <c r="D205" s="14"/>
      <c r="E205" s="14"/>
    </row>
    <row r="206">
      <c r="D206" s="14"/>
      <c r="E206" s="14"/>
    </row>
    <row r="207">
      <c r="D207" s="14"/>
      <c r="E207" s="14"/>
    </row>
    <row r="208">
      <c r="D208" s="14"/>
      <c r="E208" s="14"/>
    </row>
    <row r="209">
      <c r="D209" s="14"/>
      <c r="E209" s="14"/>
    </row>
    <row r="210">
      <c r="D210" s="14"/>
      <c r="E210" s="14"/>
    </row>
    <row r="211">
      <c r="D211" s="14"/>
      <c r="E211" s="14"/>
    </row>
    <row r="212">
      <c r="D212" s="14"/>
      <c r="E212" s="14"/>
    </row>
    <row r="213">
      <c r="D213" s="14"/>
      <c r="E213" s="14"/>
    </row>
    <row r="214">
      <c r="D214" s="14"/>
      <c r="E214" s="14"/>
    </row>
    <row r="215">
      <c r="D215" s="14"/>
      <c r="E215" s="14"/>
    </row>
    <row r="216">
      <c r="D216" s="14"/>
      <c r="E216" s="14"/>
    </row>
    <row r="217">
      <c r="D217" s="14"/>
      <c r="E217" s="14"/>
    </row>
    <row r="218">
      <c r="D218" s="14"/>
      <c r="E218" s="14"/>
    </row>
    <row r="219">
      <c r="D219" s="14"/>
      <c r="E219" s="14"/>
    </row>
    <row r="220">
      <c r="D220" s="14"/>
      <c r="E220" s="14"/>
    </row>
    <row r="221">
      <c r="D221" s="14"/>
      <c r="E221" s="14"/>
    </row>
    <row r="222">
      <c r="D222" s="14"/>
      <c r="E222" s="14"/>
    </row>
    <row r="223">
      <c r="D223" s="14"/>
      <c r="E223" s="14"/>
    </row>
    <row r="224">
      <c r="D224" s="14"/>
      <c r="E224" s="14"/>
    </row>
    <row r="225">
      <c r="D225" s="14"/>
      <c r="E225" s="14"/>
    </row>
    <row r="226">
      <c r="D226" s="14"/>
      <c r="E226" s="14"/>
    </row>
    <row r="227">
      <c r="D227" s="14"/>
      <c r="E227" s="14"/>
    </row>
    <row r="228">
      <c r="D228" s="14"/>
      <c r="E228" s="14"/>
    </row>
    <row r="229">
      <c r="D229" s="14"/>
      <c r="E229" s="14"/>
    </row>
    <row r="230">
      <c r="D230" s="14"/>
      <c r="E230" s="14"/>
    </row>
    <row r="231">
      <c r="D231" s="14"/>
      <c r="E231" s="14"/>
    </row>
    <row r="232">
      <c r="D232" s="14"/>
      <c r="E232" s="14"/>
    </row>
    <row r="233">
      <c r="D233" s="14"/>
      <c r="E233" s="14"/>
    </row>
    <row r="234">
      <c r="D234" s="14"/>
      <c r="E234" s="14"/>
    </row>
    <row r="235">
      <c r="D235" s="14"/>
      <c r="E235" s="14"/>
    </row>
    <row r="236">
      <c r="D236" s="14"/>
      <c r="E236" s="14"/>
    </row>
    <row r="237">
      <c r="D237" s="14"/>
      <c r="E237" s="14"/>
    </row>
    <row r="238">
      <c r="D238" s="14"/>
      <c r="E238" s="14"/>
    </row>
    <row r="239">
      <c r="D239" s="14"/>
      <c r="E239" s="14"/>
    </row>
    <row r="240">
      <c r="D240" s="14"/>
      <c r="E240" s="14"/>
    </row>
    <row r="241">
      <c r="D241" s="14"/>
      <c r="E241" s="14"/>
    </row>
    <row r="242">
      <c r="D242" s="14"/>
      <c r="E242" s="14"/>
    </row>
    <row r="243">
      <c r="D243" s="14"/>
      <c r="E243" s="14"/>
    </row>
    <row r="244">
      <c r="D244" s="14"/>
      <c r="E244" s="14"/>
    </row>
    <row r="245">
      <c r="D245" s="14"/>
      <c r="E245" s="14"/>
    </row>
    <row r="246">
      <c r="D246" s="14"/>
      <c r="E246" s="14"/>
    </row>
    <row r="247">
      <c r="D247" s="14"/>
      <c r="E247" s="14"/>
    </row>
    <row r="248">
      <c r="D248" s="14"/>
      <c r="E248" s="14"/>
    </row>
    <row r="249">
      <c r="D249" s="14"/>
      <c r="E249" s="14"/>
    </row>
    <row r="250">
      <c r="D250" s="14"/>
      <c r="E250" s="14"/>
    </row>
    <row r="251">
      <c r="D251" s="14"/>
      <c r="E251" s="14"/>
    </row>
    <row r="252">
      <c r="D252" s="14"/>
      <c r="E252" s="14"/>
    </row>
    <row r="253">
      <c r="D253" s="14"/>
      <c r="E253" s="14"/>
    </row>
    <row r="254">
      <c r="D254" s="14"/>
      <c r="E254" s="14"/>
    </row>
    <row r="255">
      <c r="D255" s="14"/>
      <c r="E255" s="14"/>
    </row>
    <row r="256">
      <c r="D256" s="14"/>
      <c r="E256" s="14"/>
    </row>
    <row r="257">
      <c r="D257" s="14"/>
      <c r="E257" s="14"/>
    </row>
    <row r="258">
      <c r="D258" s="14"/>
      <c r="E258" s="14"/>
    </row>
    <row r="259">
      <c r="D259" s="14"/>
      <c r="E259" s="14"/>
    </row>
    <row r="260">
      <c r="D260" s="14"/>
      <c r="E260" s="14"/>
    </row>
    <row r="261">
      <c r="D261" s="14"/>
      <c r="E261" s="14"/>
    </row>
    <row r="262">
      <c r="D262" s="14"/>
      <c r="E262" s="14"/>
    </row>
    <row r="263">
      <c r="D263" s="14"/>
      <c r="E263" s="14"/>
    </row>
    <row r="264">
      <c r="D264" s="14"/>
      <c r="E264" s="14"/>
    </row>
    <row r="265">
      <c r="D265" s="14"/>
      <c r="E265" s="14"/>
    </row>
    <row r="266">
      <c r="D266" s="14"/>
      <c r="E266" s="14"/>
    </row>
    <row r="267">
      <c r="D267" s="14"/>
      <c r="E267" s="14"/>
    </row>
    <row r="268">
      <c r="D268" s="14"/>
      <c r="E268" s="14"/>
    </row>
    <row r="269">
      <c r="D269" s="14"/>
      <c r="E269" s="14"/>
    </row>
    <row r="270">
      <c r="D270" s="14"/>
      <c r="E270" s="14"/>
    </row>
    <row r="271">
      <c r="D271" s="14"/>
      <c r="E271" s="14"/>
    </row>
    <row r="272">
      <c r="D272" s="14"/>
      <c r="E272" s="14"/>
    </row>
    <row r="273">
      <c r="D273" s="14"/>
      <c r="E273" s="14"/>
    </row>
    <row r="274">
      <c r="D274" s="14"/>
      <c r="E274" s="14"/>
    </row>
    <row r="275">
      <c r="D275" s="14"/>
      <c r="E275" s="14"/>
    </row>
    <row r="276">
      <c r="D276" s="14"/>
      <c r="E276" s="14"/>
    </row>
    <row r="277">
      <c r="D277" s="14"/>
      <c r="E277" s="14"/>
    </row>
    <row r="278">
      <c r="D278" s="14"/>
      <c r="E278" s="14"/>
    </row>
    <row r="279">
      <c r="D279" s="14"/>
      <c r="E279" s="14"/>
    </row>
    <row r="280">
      <c r="D280" s="14"/>
      <c r="E280" s="14"/>
    </row>
    <row r="281">
      <c r="D281" s="14"/>
      <c r="E281" s="14"/>
    </row>
    <row r="282">
      <c r="D282" s="14"/>
      <c r="E282" s="14"/>
    </row>
    <row r="283">
      <c r="D283" s="14"/>
      <c r="E283" s="14"/>
    </row>
    <row r="284">
      <c r="D284" s="14"/>
      <c r="E284" s="14"/>
    </row>
    <row r="285">
      <c r="D285" s="14"/>
      <c r="E285" s="14"/>
    </row>
    <row r="286">
      <c r="D286" s="14"/>
      <c r="E286" s="14"/>
    </row>
    <row r="287">
      <c r="D287" s="14"/>
      <c r="E287" s="14"/>
    </row>
    <row r="288">
      <c r="D288" s="14"/>
      <c r="E288" s="14"/>
    </row>
    <row r="289">
      <c r="D289" s="14"/>
      <c r="E289" s="14"/>
    </row>
    <row r="290">
      <c r="D290" s="14"/>
      <c r="E290" s="14"/>
    </row>
    <row r="291">
      <c r="D291" s="14"/>
      <c r="E291" s="14"/>
    </row>
    <row r="292">
      <c r="D292" s="14"/>
      <c r="E292" s="14"/>
    </row>
    <row r="293">
      <c r="D293" s="14"/>
      <c r="E293" s="14"/>
    </row>
    <row r="294">
      <c r="D294" s="14"/>
      <c r="E294" s="14"/>
    </row>
    <row r="295">
      <c r="D295" s="14"/>
      <c r="E295" s="14"/>
    </row>
    <row r="296">
      <c r="D296" s="14"/>
      <c r="E296" s="14"/>
    </row>
    <row r="297">
      <c r="D297" s="14"/>
      <c r="E297" s="14"/>
    </row>
    <row r="298">
      <c r="D298" s="14"/>
      <c r="E298" s="14"/>
    </row>
    <row r="299">
      <c r="D299" s="14"/>
      <c r="E299" s="14"/>
    </row>
    <row r="300">
      <c r="D300" s="14"/>
      <c r="E300" s="14"/>
    </row>
    <row r="301">
      <c r="D301" s="14"/>
      <c r="E301" s="14"/>
    </row>
    <row r="302">
      <c r="D302" s="14"/>
      <c r="E302" s="14"/>
    </row>
    <row r="303">
      <c r="D303" s="14"/>
      <c r="E303" s="14"/>
    </row>
    <row r="304">
      <c r="D304" s="14"/>
      <c r="E304" s="14"/>
    </row>
    <row r="305">
      <c r="D305" s="14"/>
      <c r="E305" s="14"/>
    </row>
    <row r="306">
      <c r="D306" s="14"/>
      <c r="E306" s="14"/>
    </row>
    <row r="307">
      <c r="D307" s="14"/>
      <c r="E307" s="14"/>
    </row>
    <row r="308">
      <c r="D308" s="14"/>
      <c r="E308" s="14"/>
    </row>
    <row r="309">
      <c r="D309" s="14"/>
      <c r="E309" s="14"/>
    </row>
    <row r="310">
      <c r="D310" s="14"/>
      <c r="E310" s="14"/>
    </row>
    <row r="311">
      <c r="D311" s="14"/>
      <c r="E311" s="14"/>
    </row>
    <row r="312">
      <c r="D312" s="14"/>
      <c r="E312" s="14"/>
    </row>
    <row r="313">
      <c r="D313" s="14"/>
      <c r="E313" s="14"/>
    </row>
    <row r="314">
      <c r="D314" s="14"/>
      <c r="E314" s="14"/>
    </row>
    <row r="315">
      <c r="D315" s="14"/>
      <c r="E315" s="14"/>
    </row>
    <row r="316">
      <c r="D316" s="14"/>
      <c r="E316" s="14"/>
    </row>
    <row r="317">
      <c r="D317" s="14"/>
      <c r="E317" s="14"/>
    </row>
    <row r="318">
      <c r="D318" s="14"/>
      <c r="E318" s="14"/>
    </row>
    <row r="319">
      <c r="D319" s="14"/>
      <c r="E319" s="14"/>
    </row>
    <row r="320">
      <c r="D320" s="14"/>
      <c r="E320" s="14"/>
    </row>
    <row r="321">
      <c r="D321" s="14"/>
      <c r="E321" s="14"/>
    </row>
    <row r="322">
      <c r="D322" s="14"/>
      <c r="E322" s="14"/>
    </row>
    <row r="323">
      <c r="D323" s="14"/>
      <c r="E323" s="14"/>
    </row>
    <row r="324">
      <c r="D324" s="14"/>
      <c r="E324" s="14"/>
    </row>
    <row r="325">
      <c r="D325" s="14"/>
      <c r="E325" s="14"/>
    </row>
    <row r="326">
      <c r="D326" s="14"/>
      <c r="E326" s="14"/>
    </row>
    <row r="327">
      <c r="D327" s="14"/>
      <c r="E327" s="14"/>
    </row>
    <row r="328">
      <c r="D328" s="14"/>
      <c r="E328" s="14"/>
    </row>
    <row r="329">
      <c r="D329" s="14"/>
      <c r="E329" s="14"/>
    </row>
    <row r="330">
      <c r="D330" s="14"/>
      <c r="E330" s="14"/>
    </row>
    <row r="331">
      <c r="D331" s="14"/>
      <c r="E331" s="14"/>
    </row>
    <row r="332">
      <c r="D332" s="14"/>
      <c r="E332" s="14"/>
    </row>
    <row r="333">
      <c r="D333" s="14"/>
      <c r="E333" s="14"/>
    </row>
    <row r="334">
      <c r="D334" s="14"/>
      <c r="E334" s="14"/>
    </row>
    <row r="335">
      <c r="D335" s="14"/>
      <c r="E335" s="14"/>
    </row>
    <row r="336">
      <c r="D336" s="14"/>
      <c r="E336" s="14"/>
    </row>
    <row r="337">
      <c r="D337" s="14"/>
      <c r="E337" s="14"/>
    </row>
    <row r="338">
      <c r="D338" s="14"/>
      <c r="E338" s="14"/>
    </row>
    <row r="339">
      <c r="D339" s="14"/>
      <c r="E339" s="14"/>
    </row>
    <row r="340">
      <c r="D340" s="14"/>
      <c r="E340" s="14"/>
    </row>
    <row r="341">
      <c r="D341" s="14"/>
      <c r="E341" s="14"/>
    </row>
    <row r="342">
      <c r="D342" s="14"/>
      <c r="E342" s="14"/>
    </row>
    <row r="343">
      <c r="D343" s="14"/>
      <c r="E343" s="14"/>
    </row>
    <row r="344">
      <c r="D344" s="14"/>
      <c r="E344" s="14"/>
    </row>
    <row r="345">
      <c r="D345" s="14"/>
      <c r="E345" s="14"/>
    </row>
    <row r="346">
      <c r="D346" s="14"/>
      <c r="E346" s="14"/>
    </row>
    <row r="347">
      <c r="D347" s="14"/>
      <c r="E347" s="14"/>
    </row>
    <row r="348">
      <c r="D348" s="14"/>
      <c r="E348" s="14"/>
    </row>
    <row r="349">
      <c r="D349" s="14"/>
      <c r="E349" s="14"/>
    </row>
    <row r="350">
      <c r="D350" s="14"/>
      <c r="E350" s="14"/>
    </row>
    <row r="351">
      <c r="D351" s="14"/>
      <c r="E351" s="14"/>
    </row>
    <row r="352">
      <c r="D352" s="14"/>
      <c r="E352" s="14"/>
    </row>
    <row r="353">
      <c r="D353" s="14"/>
      <c r="E353" s="14"/>
    </row>
    <row r="354">
      <c r="D354" s="14"/>
      <c r="E354" s="14"/>
    </row>
    <row r="355">
      <c r="D355" s="14"/>
      <c r="E355" s="14"/>
    </row>
    <row r="356">
      <c r="D356" s="14"/>
      <c r="E356" s="14"/>
    </row>
    <row r="357">
      <c r="D357" s="14"/>
      <c r="E357" s="14"/>
    </row>
    <row r="358">
      <c r="D358" s="14"/>
      <c r="E358" s="14"/>
    </row>
    <row r="359">
      <c r="D359" s="14"/>
      <c r="E359" s="14"/>
    </row>
    <row r="360">
      <c r="D360" s="14"/>
      <c r="E360" s="14"/>
    </row>
    <row r="361">
      <c r="D361" s="14"/>
      <c r="E361" s="14"/>
    </row>
    <row r="362">
      <c r="D362" s="14"/>
      <c r="E362" s="14"/>
    </row>
    <row r="363">
      <c r="D363" s="14"/>
      <c r="E363" s="14"/>
    </row>
    <row r="364">
      <c r="D364" s="14"/>
      <c r="E364" s="14"/>
    </row>
    <row r="365">
      <c r="D365" s="14"/>
      <c r="E365" s="14"/>
    </row>
    <row r="366">
      <c r="D366" s="14"/>
      <c r="E366" s="14"/>
    </row>
    <row r="367">
      <c r="D367" s="14"/>
      <c r="E367" s="14"/>
    </row>
    <row r="368">
      <c r="D368" s="14"/>
      <c r="E368" s="14"/>
    </row>
    <row r="369">
      <c r="D369" s="14"/>
      <c r="E369" s="14"/>
    </row>
    <row r="370">
      <c r="D370" s="14"/>
      <c r="E370" s="14"/>
    </row>
    <row r="371">
      <c r="D371" s="14"/>
      <c r="E371" s="14"/>
    </row>
    <row r="372">
      <c r="D372" s="14"/>
      <c r="E372" s="14"/>
    </row>
    <row r="373">
      <c r="D373" s="14"/>
      <c r="E373" s="14"/>
    </row>
    <row r="374">
      <c r="D374" s="14"/>
      <c r="E374" s="14"/>
    </row>
    <row r="375">
      <c r="D375" s="14"/>
      <c r="E375" s="14"/>
    </row>
    <row r="376">
      <c r="D376" s="14"/>
      <c r="E376" s="14"/>
    </row>
    <row r="377">
      <c r="D377" s="14"/>
      <c r="E377" s="14"/>
    </row>
    <row r="378">
      <c r="D378" s="14"/>
      <c r="E378" s="14"/>
    </row>
    <row r="379">
      <c r="D379" s="14"/>
      <c r="E379" s="14"/>
    </row>
    <row r="380">
      <c r="D380" s="14"/>
      <c r="E380" s="14"/>
    </row>
    <row r="381">
      <c r="D381" s="14"/>
      <c r="E381" s="14"/>
    </row>
    <row r="382">
      <c r="D382" s="14"/>
      <c r="E382" s="14"/>
    </row>
    <row r="383">
      <c r="D383" s="14"/>
      <c r="E383" s="14"/>
    </row>
    <row r="384">
      <c r="D384" s="14"/>
      <c r="E384" s="14"/>
    </row>
    <row r="385">
      <c r="D385" s="14"/>
      <c r="E385" s="14"/>
    </row>
    <row r="386">
      <c r="D386" s="14"/>
      <c r="E386" s="14"/>
    </row>
    <row r="387">
      <c r="D387" s="14"/>
      <c r="E387" s="14"/>
    </row>
    <row r="388">
      <c r="D388" s="14"/>
      <c r="E388" s="14"/>
    </row>
    <row r="389">
      <c r="D389" s="14"/>
      <c r="E389" s="14"/>
    </row>
    <row r="390">
      <c r="D390" s="14"/>
      <c r="E390" s="14"/>
    </row>
    <row r="391">
      <c r="D391" s="14"/>
      <c r="E391" s="14"/>
    </row>
    <row r="392">
      <c r="D392" s="14"/>
      <c r="E392" s="14"/>
    </row>
    <row r="393">
      <c r="D393" s="14"/>
      <c r="E393" s="14"/>
    </row>
    <row r="394">
      <c r="D394" s="14"/>
      <c r="E394" s="14"/>
    </row>
    <row r="395">
      <c r="D395" s="14"/>
      <c r="E395" s="14"/>
    </row>
    <row r="396">
      <c r="D396" s="14"/>
      <c r="E396" s="14"/>
    </row>
    <row r="397">
      <c r="D397" s="14"/>
      <c r="E397" s="14"/>
    </row>
    <row r="398">
      <c r="D398" s="14"/>
      <c r="E398" s="14"/>
    </row>
    <row r="399">
      <c r="D399" s="14"/>
      <c r="E399" s="14"/>
    </row>
    <row r="400">
      <c r="D400" s="14"/>
      <c r="E400" s="14"/>
    </row>
    <row r="401">
      <c r="D401" s="14"/>
      <c r="E401" s="14"/>
    </row>
    <row r="402">
      <c r="D402" s="14"/>
      <c r="E402" s="14"/>
    </row>
    <row r="403">
      <c r="D403" s="14"/>
      <c r="E403" s="14"/>
    </row>
    <row r="404">
      <c r="D404" s="14"/>
      <c r="E404" s="14"/>
    </row>
    <row r="405">
      <c r="D405" s="14"/>
      <c r="E405" s="14"/>
    </row>
    <row r="406">
      <c r="D406" s="14"/>
      <c r="E406" s="14"/>
    </row>
    <row r="407">
      <c r="D407" s="14"/>
      <c r="E407" s="14"/>
    </row>
    <row r="408">
      <c r="D408" s="14"/>
      <c r="E408" s="14"/>
    </row>
    <row r="409">
      <c r="D409" s="14"/>
      <c r="E409" s="14"/>
    </row>
    <row r="410">
      <c r="D410" s="14"/>
      <c r="E410" s="14"/>
    </row>
    <row r="411">
      <c r="D411" s="14"/>
      <c r="E411" s="14"/>
    </row>
    <row r="412">
      <c r="D412" s="14"/>
      <c r="E412" s="14"/>
    </row>
    <row r="413">
      <c r="D413" s="14"/>
      <c r="E413" s="14"/>
    </row>
    <row r="414">
      <c r="D414" s="14"/>
      <c r="E414" s="14"/>
    </row>
    <row r="415">
      <c r="D415" s="14"/>
      <c r="E415" s="14"/>
    </row>
    <row r="416">
      <c r="D416" s="14"/>
      <c r="E416" s="14"/>
    </row>
    <row r="417">
      <c r="D417" s="14"/>
      <c r="E417" s="14"/>
    </row>
    <row r="418">
      <c r="D418" s="14"/>
      <c r="E418" s="14"/>
    </row>
    <row r="419">
      <c r="D419" s="14"/>
      <c r="E419" s="14"/>
    </row>
    <row r="420">
      <c r="D420" s="14"/>
      <c r="E420" s="14"/>
    </row>
    <row r="421">
      <c r="D421" s="14"/>
      <c r="E421" s="14"/>
    </row>
    <row r="422">
      <c r="D422" s="14"/>
      <c r="E422" s="14"/>
    </row>
    <row r="423">
      <c r="D423" s="14"/>
      <c r="E423" s="14"/>
    </row>
    <row r="424">
      <c r="D424" s="14"/>
      <c r="E424" s="14"/>
    </row>
    <row r="425">
      <c r="D425" s="14"/>
      <c r="E425" s="14"/>
    </row>
    <row r="426">
      <c r="D426" s="14"/>
      <c r="E426" s="14"/>
    </row>
    <row r="427">
      <c r="D427" s="14"/>
      <c r="E427" s="14"/>
    </row>
    <row r="428">
      <c r="D428" s="14"/>
      <c r="E428" s="14"/>
    </row>
    <row r="429">
      <c r="D429" s="14"/>
      <c r="E429" s="14"/>
    </row>
    <row r="430">
      <c r="D430" s="14"/>
      <c r="E430" s="14"/>
    </row>
    <row r="431">
      <c r="D431" s="14"/>
      <c r="E431" s="14"/>
    </row>
    <row r="432">
      <c r="D432" s="14"/>
      <c r="E432" s="14"/>
    </row>
    <row r="433">
      <c r="D433" s="14"/>
      <c r="E433" s="14"/>
    </row>
    <row r="434">
      <c r="D434" s="14"/>
      <c r="E434" s="14"/>
    </row>
    <row r="435">
      <c r="D435" s="14"/>
      <c r="E435" s="14"/>
    </row>
    <row r="436">
      <c r="D436" s="14"/>
      <c r="E436" s="14"/>
    </row>
    <row r="437">
      <c r="D437" s="14"/>
      <c r="E437" s="14"/>
    </row>
    <row r="438">
      <c r="D438" s="14"/>
      <c r="E438" s="14"/>
    </row>
    <row r="439">
      <c r="D439" s="14"/>
      <c r="E439" s="14"/>
    </row>
    <row r="440">
      <c r="D440" s="14"/>
      <c r="E440" s="14"/>
    </row>
    <row r="441">
      <c r="D441" s="14"/>
      <c r="E441" s="14"/>
    </row>
    <row r="442">
      <c r="D442" s="14"/>
      <c r="E442" s="14"/>
    </row>
    <row r="443">
      <c r="D443" s="14"/>
      <c r="E443" s="14"/>
    </row>
    <row r="444">
      <c r="D444" s="14"/>
      <c r="E444" s="14"/>
    </row>
    <row r="445">
      <c r="D445" s="14"/>
      <c r="E445" s="14"/>
    </row>
    <row r="446">
      <c r="D446" s="14"/>
      <c r="E446" s="14"/>
    </row>
    <row r="447">
      <c r="D447" s="14"/>
      <c r="E447" s="14"/>
    </row>
    <row r="448">
      <c r="D448" s="14"/>
      <c r="E448" s="14"/>
    </row>
    <row r="449">
      <c r="D449" s="14"/>
      <c r="E449" s="14"/>
    </row>
    <row r="450">
      <c r="D450" s="14"/>
      <c r="E450" s="14"/>
    </row>
    <row r="451">
      <c r="D451" s="14"/>
      <c r="E451" s="14"/>
    </row>
    <row r="452">
      <c r="D452" s="14"/>
      <c r="E452" s="14"/>
    </row>
    <row r="453">
      <c r="D453" s="14"/>
      <c r="E453" s="14"/>
    </row>
    <row r="454">
      <c r="D454" s="14"/>
      <c r="E454" s="14"/>
    </row>
    <row r="455">
      <c r="D455" s="14"/>
      <c r="E455" s="14"/>
    </row>
    <row r="456">
      <c r="D456" s="14"/>
      <c r="E456" s="14"/>
    </row>
    <row r="457">
      <c r="D457" s="14"/>
      <c r="E457" s="14"/>
    </row>
    <row r="458">
      <c r="D458" s="14"/>
      <c r="E458" s="14"/>
    </row>
    <row r="459">
      <c r="D459" s="14"/>
      <c r="E459" s="14"/>
    </row>
    <row r="460">
      <c r="D460" s="14"/>
      <c r="E460" s="14"/>
    </row>
    <row r="461">
      <c r="D461" s="14"/>
      <c r="E461" s="14"/>
    </row>
    <row r="462">
      <c r="D462" s="14"/>
      <c r="E462" s="14"/>
    </row>
    <row r="463">
      <c r="D463" s="14"/>
      <c r="E463" s="14"/>
    </row>
    <row r="464">
      <c r="D464" s="14"/>
      <c r="E464" s="14"/>
    </row>
    <row r="465">
      <c r="D465" s="14"/>
      <c r="E465" s="14"/>
    </row>
    <row r="466">
      <c r="D466" s="14"/>
      <c r="E466" s="14"/>
    </row>
    <row r="467">
      <c r="D467" s="14"/>
      <c r="E467" s="14"/>
    </row>
    <row r="468">
      <c r="D468" s="14"/>
      <c r="E468" s="14"/>
    </row>
    <row r="469">
      <c r="D469" s="14"/>
      <c r="E469" s="14"/>
    </row>
    <row r="470">
      <c r="D470" s="14"/>
      <c r="E470" s="14"/>
    </row>
    <row r="471">
      <c r="D471" s="14"/>
      <c r="E471" s="14"/>
    </row>
    <row r="472">
      <c r="D472" s="14"/>
      <c r="E472" s="14"/>
    </row>
    <row r="473">
      <c r="D473" s="14"/>
      <c r="E473" s="14"/>
    </row>
    <row r="474">
      <c r="D474" s="14"/>
      <c r="E474" s="14"/>
    </row>
    <row r="475">
      <c r="D475" s="14"/>
      <c r="E475" s="14"/>
    </row>
    <row r="476">
      <c r="D476" s="14"/>
      <c r="E476" s="14"/>
    </row>
    <row r="477">
      <c r="D477" s="14"/>
      <c r="E477" s="14"/>
    </row>
    <row r="478">
      <c r="D478" s="14"/>
      <c r="E478" s="14"/>
    </row>
    <row r="479">
      <c r="D479" s="14"/>
      <c r="E479" s="14"/>
    </row>
    <row r="480">
      <c r="D480" s="14"/>
      <c r="E480" s="14"/>
    </row>
    <row r="481">
      <c r="D481" s="14"/>
      <c r="E481" s="14"/>
    </row>
    <row r="482">
      <c r="D482" s="14"/>
      <c r="E482" s="14"/>
    </row>
    <row r="483">
      <c r="D483" s="14"/>
      <c r="E483" s="14"/>
    </row>
    <row r="484">
      <c r="D484" s="14"/>
      <c r="E484" s="14"/>
    </row>
    <row r="485">
      <c r="D485" s="14"/>
      <c r="E485" s="14"/>
    </row>
    <row r="486">
      <c r="D486" s="14"/>
      <c r="E486" s="14"/>
    </row>
    <row r="487">
      <c r="D487" s="14"/>
      <c r="E487" s="14"/>
    </row>
    <row r="488">
      <c r="D488" s="14"/>
      <c r="E488" s="14"/>
    </row>
    <row r="489">
      <c r="D489" s="14"/>
      <c r="E489" s="14"/>
    </row>
    <row r="490">
      <c r="D490" s="14"/>
      <c r="E490" s="14"/>
    </row>
    <row r="491">
      <c r="D491" s="14"/>
      <c r="E491" s="14"/>
    </row>
    <row r="492">
      <c r="D492" s="14"/>
      <c r="E492" s="14"/>
    </row>
    <row r="493">
      <c r="D493" s="14"/>
      <c r="E493" s="14"/>
    </row>
    <row r="494">
      <c r="D494" s="14"/>
      <c r="E494" s="14"/>
    </row>
    <row r="495">
      <c r="D495" s="14"/>
      <c r="E495" s="14"/>
    </row>
    <row r="496">
      <c r="D496" s="14"/>
      <c r="E496" s="14"/>
    </row>
    <row r="497">
      <c r="D497" s="14"/>
      <c r="E497" s="14"/>
    </row>
    <row r="498">
      <c r="D498" s="14"/>
      <c r="E498" s="14"/>
    </row>
    <row r="499">
      <c r="D499" s="14"/>
      <c r="E499" s="14"/>
    </row>
    <row r="500">
      <c r="D500" s="14"/>
      <c r="E500" s="14"/>
    </row>
    <row r="501">
      <c r="D501" s="14"/>
      <c r="E501" s="14"/>
    </row>
    <row r="502">
      <c r="D502" s="14"/>
      <c r="E502" s="14"/>
    </row>
    <row r="503">
      <c r="D503" s="14"/>
      <c r="E503" s="14"/>
    </row>
    <row r="504">
      <c r="D504" s="14"/>
      <c r="E504" s="14"/>
    </row>
    <row r="505">
      <c r="D505" s="14"/>
      <c r="E505" s="14"/>
    </row>
    <row r="506">
      <c r="D506" s="14"/>
      <c r="E506" s="14"/>
    </row>
    <row r="507">
      <c r="D507" s="14"/>
      <c r="E507" s="14"/>
    </row>
    <row r="508">
      <c r="D508" s="14"/>
      <c r="E508" s="14"/>
    </row>
    <row r="509">
      <c r="D509" s="14"/>
      <c r="E509" s="14"/>
    </row>
    <row r="510">
      <c r="D510" s="14"/>
      <c r="E510" s="14"/>
    </row>
    <row r="511">
      <c r="D511" s="14"/>
      <c r="E511" s="14"/>
    </row>
    <row r="512">
      <c r="D512" s="14"/>
      <c r="E512" s="14"/>
    </row>
    <row r="513">
      <c r="D513" s="14"/>
      <c r="E513" s="14"/>
    </row>
    <row r="514">
      <c r="D514" s="14"/>
      <c r="E514" s="14"/>
    </row>
    <row r="515">
      <c r="D515" s="14"/>
      <c r="E515" s="14"/>
    </row>
    <row r="516">
      <c r="D516" s="14"/>
      <c r="E516" s="14"/>
    </row>
    <row r="517">
      <c r="D517" s="14"/>
      <c r="E517" s="14"/>
    </row>
    <row r="518">
      <c r="D518" s="14"/>
      <c r="E518" s="14"/>
    </row>
    <row r="519">
      <c r="D519" s="14"/>
      <c r="E519" s="14"/>
    </row>
    <row r="520">
      <c r="D520" s="14"/>
      <c r="E520" s="14"/>
    </row>
    <row r="521">
      <c r="D521" s="14"/>
      <c r="E521" s="14"/>
    </row>
    <row r="522">
      <c r="D522" s="14"/>
      <c r="E522" s="14"/>
    </row>
    <row r="523">
      <c r="D523" s="14"/>
      <c r="E523" s="14"/>
    </row>
    <row r="524">
      <c r="D524" s="14"/>
      <c r="E524" s="14"/>
    </row>
    <row r="525">
      <c r="D525" s="14"/>
      <c r="E525" s="14"/>
    </row>
    <row r="526">
      <c r="D526" s="14"/>
      <c r="E526" s="14"/>
    </row>
    <row r="527">
      <c r="D527" s="14"/>
      <c r="E527" s="14"/>
    </row>
    <row r="528">
      <c r="D528" s="14"/>
      <c r="E528" s="14"/>
    </row>
    <row r="529">
      <c r="D529" s="14"/>
      <c r="E529" s="14"/>
    </row>
    <row r="530">
      <c r="D530" s="14"/>
      <c r="E530" s="14"/>
    </row>
    <row r="531">
      <c r="D531" s="14"/>
      <c r="E531" s="14"/>
    </row>
    <row r="532">
      <c r="D532" s="14"/>
      <c r="E532" s="14"/>
    </row>
    <row r="533">
      <c r="D533" s="14"/>
      <c r="E533" s="14"/>
    </row>
    <row r="534">
      <c r="D534" s="14"/>
      <c r="E534" s="14"/>
    </row>
    <row r="535">
      <c r="D535" s="14"/>
      <c r="E535" s="14"/>
    </row>
    <row r="536">
      <c r="D536" s="14"/>
      <c r="E536" s="14"/>
    </row>
    <row r="537">
      <c r="D537" s="14"/>
      <c r="E537" s="14"/>
    </row>
    <row r="538">
      <c r="D538" s="14"/>
      <c r="E538" s="14"/>
    </row>
    <row r="539">
      <c r="D539" s="14"/>
      <c r="E539" s="14"/>
    </row>
    <row r="540">
      <c r="D540" s="14"/>
      <c r="E540" s="14"/>
    </row>
    <row r="541">
      <c r="D541" s="14"/>
      <c r="E541" s="14"/>
    </row>
    <row r="542">
      <c r="D542" s="14"/>
      <c r="E542" s="14"/>
    </row>
    <row r="543">
      <c r="D543" s="14"/>
      <c r="E543" s="14"/>
    </row>
    <row r="544">
      <c r="D544" s="14"/>
      <c r="E544" s="14"/>
    </row>
    <row r="545">
      <c r="D545" s="14"/>
      <c r="E545" s="14"/>
    </row>
    <row r="546">
      <c r="D546" s="14"/>
      <c r="E546" s="14"/>
    </row>
    <row r="547">
      <c r="D547" s="14"/>
      <c r="E547" s="14"/>
    </row>
    <row r="548">
      <c r="D548" s="14"/>
      <c r="E548" s="14"/>
    </row>
    <row r="549">
      <c r="D549" s="14"/>
      <c r="E549" s="14"/>
    </row>
    <row r="550">
      <c r="D550" s="14"/>
      <c r="E550" s="14"/>
    </row>
    <row r="551">
      <c r="D551" s="14"/>
      <c r="E551" s="14"/>
    </row>
    <row r="552">
      <c r="D552" s="14"/>
      <c r="E552" s="14"/>
    </row>
    <row r="553">
      <c r="D553" s="14"/>
      <c r="E553" s="14"/>
    </row>
    <row r="554">
      <c r="D554" s="14"/>
      <c r="E554" s="14"/>
    </row>
    <row r="555">
      <c r="D555" s="14"/>
      <c r="E555" s="14"/>
    </row>
    <row r="556">
      <c r="D556" s="14"/>
      <c r="E556" s="14"/>
    </row>
    <row r="557">
      <c r="D557" s="14"/>
      <c r="E557" s="14"/>
    </row>
    <row r="558">
      <c r="D558" s="14"/>
      <c r="E558" s="14"/>
    </row>
    <row r="559">
      <c r="D559" s="14"/>
      <c r="E559" s="14"/>
    </row>
    <row r="560">
      <c r="D560" s="14"/>
      <c r="E560" s="14"/>
    </row>
    <row r="561">
      <c r="D561" s="14"/>
      <c r="E561" s="14"/>
    </row>
    <row r="562">
      <c r="D562" s="14"/>
      <c r="E562" s="14"/>
    </row>
    <row r="563">
      <c r="D563" s="14"/>
      <c r="E563" s="14"/>
    </row>
    <row r="564">
      <c r="D564" s="14"/>
      <c r="E564" s="14"/>
    </row>
    <row r="565">
      <c r="D565" s="14"/>
      <c r="E565" s="14"/>
    </row>
    <row r="566">
      <c r="D566" s="14"/>
      <c r="E566" s="14"/>
    </row>
    <row r="567">
      <c r="D567" s="14"/>
      <c r="E567" s="14"/>
    </row>
    <row r="568">
      <c r="D568" s="14"/>
      <c r="E568" s="14"/>
    </row>
    <row r="569">
      <c r="D569" s="14"/>
      <c r="E569" s="14"/>
    </row>
    <row r="570">
      <c r="D570" s="14"/>
      <c r="E570" s="14"/>
    </row>
    <row r="571">
      <c r="D571" s="14"/>
      <c r="E571" s="14"/>
    </row>
    <row r="572">
      <c r="D572" s="14"/>
      <c r="E572" s="14"/>
    </row>
    <row r="573">
      <c r="D573" s="14"/>
      <c r="E573" s="14"/>
    </row>
    <row r="574">
      <c r="D574" s="14"/>
      <c r="E574" s="14"/>
    </row>
    <row r="575">
      <c r="D575" s="14"/>
      <c r="E575" s="14"/>
    </row>
    <row r="576">
      <c r="D576" s="14"/>
      <c r="E576" s="14"/>
    </row>
    <row r="577">
      <c r="D577" s="14"/>
      <c r="E577" s="14"/>
    </row>
    <row r="578">
      <c r="D578" s="14"/>
      <c r="E578" s="14"/>
    </row>
    <row r="579">
      <c r="D579" s="14"/>
      <c r="E579" s="14"/>
    </row>
    <row r="580">
      <c r="D580" s="14"/>
      <c r="E580" s="14"/>
    </row>
    <row r="581">
      <c r="D581" s="14"/>
      <c r="E581" s="14"/>
    </row>
    <row r="582">
      <c r="D582" s="14"/>
      <c r="E582" s="14"/>
    </row>
    <row r="583">
      <c r="D583" s="14"/>
      <c r="E583" s="14"/>
    </row>
    <row r="584">
      <c r="D584" s="14"/>
      <c r="E584" s="14"/>
    </row>
    <row r="585">
      <c r="D585" s="14"/>
      <c r="E585" s="14"/>
    </row>
    <row r="586">
      <c r="D586" s="14"/>
      <c r="E586" s="14"/>
    </row>
    <row r="587">
      <c r="D587" s="14"/>
      <c r="E587" s="14"/>
    </row>
    <row r="588">
      <c r="D588" s="14"/>
      <c r="E588" s="14"/>
    </row>
    <row r="589">
      <c r="D589" s="14"/>
      <c r="E589" s="14"/>
    </row>
    <row r="590">
      <c r="D590" s="14"/>
      <c r="E590" s="14"/>
    </row>
    <row r="591">
      <c r="D591" s="14"/>
      <c r="E591" s="14"/>
    </row>
    <row r="592">
      <c r="D592" s="14"/>
      <c r="E592" s="14"/>
    </row>
    <row r="593">
      <c r="D593" s="14"/>
      <c r="E593" s="14"/>
    </row>
    <row r="594">
      <c r="D594" s="14"/>
      <c r="E594" s="14"/>
    </row>
    <row r="595">
      <c r="D595" s="14"/>
      <c r="E595" s="14"/>
    </row>
    <row r="596">
      <c r="D596" s="14"/>
      <c r="E596" s="14"/>
    </row>
    <row r="597">
      <c r="D597" s="14"/>
      <c r="E597" s="14"/>
    </row>
    <row r="598">
      <c r="D598" s="14"/>
      <c r="E598" s="14"/>
    </row>
    <row r="599">
      <c r="D599" s="14"/>
      <c r="E599" s="14"/>
    </row>
    <row r="600">
      <c r="D600" s="14"/>
      <c r="E600" s="14"/>
    </row>
    <row r="601">
      <c r="D601" s="14"/>
      <c r="E601" s="14"/>
    </row>
    <row r="602">
      <c r="D602" s="14"/>
      <c r="E602" s="14"/>
    </row>
    <row r="603">
      <c r="D603" s="14"/>
      <c r="E603" s="14"/>
    </row>
    <row r="604">
      <c r="D604" s="14"/>
      <c r="E604" s="14"/>
    </row>
    <row r="605">
      <c r="D605" s="14"/>
      <c r="E605" s="14"/>
    </row>
    <row r="606">
      <c r="D606" s="14"/>
      <c r="E606" s="14"/>
    </row>
    <row r="607">
      <c r="D607" s="14"/>
      <c r="E607" s="14"/>
    </row>
    <row r="608">
      <c r="D608" s="14"/>
      <c r="E608" s="14"/>
    </row>
    <row r="609">
      <c r="D609" s="14"/>
      <c r="E609" s="14"/>
    </row>
    <row r="610">
      <c r="D610" s="14"/>
      <c r="E610" s="14"/>
    </row>
    <row r="611">
      <c r="D611" s="14"/>
      <c r="E611" s="14"/>
    </row>
    <row r="612">
      <c r="D612" s="14"/>
      <c r="E612" s="14"/>
    </row>
    <row r="613">
      <c r="D613" s="14"/>
      <c r="E613" s="14"/>
    </row>
    <row r="614">
      <c r="D614" s="14"/>
      <c r="E614" s="14"/>
    </row>
    <row r="615">
      <c r="D615" s="14"/>
      <c r="E615" s="14"/>
    </row>
    <row r="616">
      <c r="D616" s="14"/>
      <c r="E616" s="14"/>
    </row>
    <row r="617">
      <c r="D617" s="14"/>
      <c r="E617" s="14"/>
    </row>
    <row r="618">
      <c r="D618" s="14"/>
      <c r="E618" s="14"/>
    </row>
    <row r="619">
      <c r="D619" s="14"/>
      <c r="E619" s="14"/>
    </row>
    <row r="620">
      <c r="D620" s="14"/>
      <c r="E620" s="14"/>
    </row>
    <row r="621">
      <c r="D621" s="14"/>
      <c r="E621" s="14"/>
    </row>
    <row r="622">
      <c r="D622" s="14"/>
      <c r="E622" s="14"/>
    </row>
    <row r="623">
      <c r="D623" s="14"/>
      <c r="E623" s="14"/>
    </row>
    <row r="624">
      <c r="D624" s="14"/>
      <c r="E624" s="14"/>
    </row>
    <row r="625">
      <c r="D625" s="14"/>
      <c r="E625" s="14"/>
    </row>
    <row r="626">
      <c r="D626" s="14"/>
      <c r="E626" s="14"/>
    </row>
    <row r="627">
      <c r="D627" s="14"/>
      <c r="E627" s="14"/>
    </row>
    <row r="628">
      <c r="D628" s="14"/>
      <c r="E628" s="14"/>
    </row>
    <row r="629">
      <c r="D629" s="14"/>
      <c r="E629" s="14"/>
    </row>
    <row r="630">
      <c r="D630" s="14"/>
      <c r="E630" s="14"/>
    </row>
    <row r="631">
      <c r="D631" s="14"/>
      <c r="E631" s="14"/>
    </row>
    <row r="632">
      <c r="D632" s="14"/>
      <c r="E632" s="14"/>
    </row>
    <row r="633">
      <c r="D633" s="14"/>
      <c r="E633" s="14"/>
    </row>
    <row r="634">
      <c r="D634" s="14"/>
      <c r="E634" s="14"/>
    </row>
    <row r="635">
      <c r="D635" s="14"/>
      <c r="E635" s="14"/>
    </row>
    <row r="636">
      <c r="D636" s="14"/>
      <c r="E636" s="14"/>
    </row>
    <row r="637">
      <c r="D637" s="14"/>
      <c r="E637" s="14"/>
    </row>
    <row r="638">
      <c r="D638" s="14"/>
      <c r="E638" s="14"/>
    </row>
    <row r="639">
      <c r="D639" s="14"/>
      <c r="E639" s="14"/>
    </row>
    <row r="640">
      <c r="D640" s="14"/>
      <c r="E640" s="14"/>
    </row>
    <row r="641">
      <c r="D641" s="14"/>
      <c r="E641" s="14"/>
    </row>
    <row r="642">
      <c r="D642" s="14"/>
      <c r="E642" s="14"/>
    </row>
    <row r="643">
      <c r="D643" s="14"/>
      <c r="E643" s="14"/>
    </row>
    <row r="644">
      <c r="D644" s="14"/>
      <c r="E644" s="14"/>
    </row>
    <row r="645">
      <c r="D645" s="14"/>
      <c r="E645" s="14"/>
    </row>
    <row r="646">
      <c r="D646" s="14"/>
      <c r="E646" s="14"/>
    </row>
    <row r="647">
      <c r="D647" s="14"/>
      <c r="E647" s="14"/>
    </row>
    <row r="648">
      <c r="D648" s="14"/>
      <c r="E648" s="14"/>
    </row>
    <row r="649">
      <c r="D649" s="14"/>
      <c r="E649" s="14"/>
    </row>
    <row r="650">
      <c r="D650" s="14"/>
      <c r="E650" s="14"/>
    </row>
    <row r="651">
      <c r="D651" s="14"/>
      <c r="E651" s="14"/>
    </row>
    <row r="652">
      <c r="D652" s="14"/>
      <c r="E652" s="14"/>
    </row>
    <row r="653">
      <c r="D653" s="14"/>
      <c r="E653" s="14"/>
    </row>
    <row r="654">
      <c r="D654" s="14"/>
      <c r="E654" s="14"/>
    </row>
    <row r="655">
      <c r="D655" s="14"/>
      <c r="E655" s="14"/>
    </row>
    <row r="656">
      <c r="D656" s="14"/>
      <c r="E656" s="14"/>
    </row>
    <row r="657">
      <c r="D657" s="14"/>
      <c r="E657" s="14"/>
    </row>
    <row r="658">
      <c r="D658" s="14"/>
      <c r="E658" s="14"/>
    </row>
    <row r="659">
      <c r="D659" s="14"/>
      <c r="E659" s="14"/>
    </row>
    <row r="660">
      <c r="D660" s="14"/>
      <c r="E660" s="14"/>
    </row>
    <row r="661">
      <c r="D661" s="14"/>
      <c r="E661" s="14"/>
    </row>
    <row r="662">
      <c r="D662" s="14"/>
      <c r="E662" s="14"/>
    </row>
    <row r="663">
      <c r="D663" s="14"/>
      <c r="E663" s="14"/>
    </row>
    <row r="664">
      <c r="D664" s="14"/>
      <c r="E664" s="14"/>
    </row>
    <row r="665">
      <c r="D665" s="14"/>
      <c r="E665" s="14"/>
    </row>
    <row r="666">
      <c r="D666" s="14"/>
      <c r="E666" s="14"/>
    </row>
    <row r="667">
      <c r="D667" s="14"/>
      <c r="E667" s="14"/>
    </row>
    <row r="668">
      <c r="D668" s="14"/>
      <c r="E668" s="14"/>
    </row>
    <row r="669">
      <c r="D669" s="14"/>
      <c r="E669" s="14"/>
    </row>
    <row r="670">
      <c r="D670" s="14"/>
      <c r="E670" s="14"/>
    </row>
    <row r="671">
      <c r="D671" s="14"/>
      <c r="E671" s="14"/>
    </row>
    <row r="672">
      <c r="D672" s="14"/>
      <c r="E672" s="14"/>
    </row>
    <row r="673">
      <c r="D673" s="14"/>
      <c r="E673" s="14"/>
    </row>
    <row r="674">
      <c r="D674" s="14"/>
      <c r="E674" s="14"/>
    </row>
    <row r="675">
      <c r="D675" s="14"/>
      <c r="E675" s="14"/>
    </row>
    <row r="676">
      <c r="D676" s="14"/>
      <c r="E676" s="14"/>
    </row>
    <row r="677">
      <c r="D677" s="14"/>
      <c r="E677" s="14"/>
    </row>
    <row r="678">
      <c r="D678" s="14"/>
      <c r="E678" s="14"/>
    </row>
    <row r="679">
      <c r="D679" s="14"/>
      <c r="E679" s="14"/>
    </row>
    <row r="680">
      <c r="D680" s="14"/>
      <c r="E680" s="14"/>
    </row>
    <row r="681">
      <c r="D681" s="14"/>
      <c r="E681" s="14"/>
    </row>
    <row r="682">
      <c r="D682" s="14"/>
      <c r="E682" s="14"/>
    </row>
    <row r="683">
      <c r="D683" s="14"/>
      <c r="E683" s="14"/>
    </row>
    <row r="684">
      <c r="D684" s="14"/>
      <c r="E684" s="14"/>
    </row>
    <row r="685">
      <c r="D685" s="14"/>
      <c r="E685" s="14"/>
    </row>
    <row r="686">
      <c r="D686" s="14"/>
      <c r="E686" s="14"/>
    </row>
    <row r="687">
      <c r="D687" s="14"/>
      <c r="E687" s="14"/>
    </row>
    <row r="688">
      <c r="D688" s="14"/>
      <c r="E688" s="14"/>
    </row>
    <row r="689">
      <c r="D689" s="14"/>
      <c r="E689" s="14"/>
    </row>
    <row r="690">
      <c r="D690" s="14"/>
      <c r="E690" s="14"/>
    </row>
    <row r="691">
      <c r="D691" s="14"/>
      <c r="E691" s="14"/>
    </row>
    <row r="692">
      <c r="D692" s="14"/>
      <c r="E692" s="14"/>
    </row>
    <row r="693">
      <c r="D693" s="14"/>
      <c r="E693" s="14"/>
    </row>
    <row r="694">
      <c r="D694" s="14"/>
      <c r="E694" s="14"/>
    </row>
    <row r="695">
      <c r="D695" s="14"/>
      <c r="E695" s="14"/>
    </row>
    <row r="696">
      <c r="D696" s="14"/>
      <c r="E696" s="14"/>
    </row>
    <row r="697">
      <c r="D697" s="14"/>
      <c r="E697" s="14"/>
    </row>
    <row r="698">
      <c r="D698" s="14"/>
      <c r="E698" s="14"/>
    </row>
    <row r="699">
      <c r="D699" s="14"/>
      <c r="E699" s="14"/>
    </row>
    <row r="700">
      <c r="D700" s="14"/>
      <c r="E700" s="14"/>
    </row>
    <row r="701">
      <c r="D701" s="14"/>
      <c r="E701" s="14"/>
    </row>
    <row r="702">
      <c r="D702" s="14"/>
      <c r="E702" s="14"/>
    </row>
    <row r="703">
      <c r="D703" s="14"/>
      <c r="E703" s="14"/>
    </row>
    <row r="704">
      <c r="D704" s="14"/>
      <c r="E704" s="14"/>
    </row>
    <row r="705">
      <c r="D705" s="14"/>
      <c r="E705" s="14"/>
    </row>
    <row r="706">
      <c r="D706" s="14"/>
      <c r="E706" s="14"/>
    </row>
    <row r="707">
      <c r="D707" s="14"/>
      <c r="E707" s="14"/>
    </row>
    <row r="708">
      <c r="D708" s="14"/>
      <c r="E708" s="14"/>
    </row>
    <row r="709">
      <c r="D709" s="14"/>
      <c r="E709" s="14"/>
    </row>
    <row r="710">
      <c r="D710" s="14"/>
      <c r="E710" s="14"/>
    </row>
    <row r="711">
      <c r="D711" s="14"/>
      <c r="E711" s="14"/>
    </row>
    <row r="712">
      <c r="D712" s="14"/>
      <c r="E712" s="14"/>
    </row>
    <row r="713">
      <c r="D713" s="14"/>
      <c r="E713" s="14"/>
    </row>
    <row r="714">
      <c r="D714" s="14"/>
      <c r="E714" s="14"/>
    </row>
    <row r="715">
      <c r="D715" s="14"/>
      <c r="E715" s="14"/>
    </row>
    <row r="716">
      <c r="D716" s="14"/>
      <c r="E716" s="14"/>
    </row>
    <row r="717">
      <c r="D717" s="14"/>
      <c r="E717" s="14"/>
    </row>
    <row r="718">
      <c r="D718" s="14"/>
      <c r="E718" s="14"/>
    </row>
    <row r="719">
      <c r="D719" s="14"/>
      <c r="E719" s="14"/>
    </row>
    <row r="720">
      <c r="D720" s="14"/>
      <c r="E720" s="14"/>
    </row>
    <row r="721">
      <c r="D721" s="14"/>
      <c r="E721" s="14"/>
    </row>
    <row r="722">
      <c r="D722" s="14"/>
      <c r="E722" s="14"/>
    </row>
    <row r="723">
      <c r="D723" s="14"/>
      <c r="E723" s="14"/>
    </row>
    <row r="724">
      <c r="D724" s="14"/>
      <c r="E724" s="14"/>
    </row>
    <row r="725">
      <c r="D725" s="14"/>
      <c r="E725" s="14"/>
    </row>
    <row r="726">
      <c r="D726" s="14"/>
      <c r="E726" s="14"/>
    </row>
    <row r="727">
      <c r="D727" s="14"/>
      <c r="E727" s="14"/>
    </row>
    <row r="728">
      <c r="D728" s="14"/>
      <c r="E728" s="14"/>
    </row>
    <row r="729">
      <c r="D729" s="14"/>
      <c r="E729" s="14"/>
    </row>
    <row r="730">
      <c r="D730" s="14"/>
      <c r="E730" s="14"/>
    </row>
    <row r="731">
      <c r="D731" s="14"/>
      <c r="E731" s="14"/>
    </row>
    <row r="732">
      <c r="D732" s="14"/>
      <c r="E732" s="14"/>
    </row>
    <row r="733">
      <c r="D733" s="14"/>
      <c r="E733" s="14"/>
    </row>
    <row r="734">
      <c r="D734" s="14"/>
      <c r="E734" s="14"/>
    </row>
    <row r="735">
      <c r="D735" s="14"/>
      <c r="E735" s="14"/>
    </row>
    <row r="736">
      <c r="D736" s="14"/>
      <c r="E736" s="14"/>
    </row>
    <row r="737">
      <c r="D737" s="14"/>
      <c r="E737" s="14"/>
    </row>
    <row r="738">
      <c r="D738" s="14"/>
      <c r="E738" s="14"/>
    </row>
    <row r="739">
      <c r="D739" s="14"/>
      <c r="E739" s="14"/>
    </row>
    <row r="740">
      <c r="D740" s="14"/>
      <c r="E740" s="14"/>
    </row>
    <row r="741">
      <c r="D741" s="14"/>
      <c r="E741" s="14"/>
    </row>
    <row r="742">
      <c r="D742" s="14"/>
      <c r="E742" s="14"/>
    </row>
    <row r="743">
      <c r="D743" s="14"/>
      <c r="E743" s="14"/>
    </row>
    <row r="744">
      <c r="D744" s="14"/>
      <c r="E744" s="14"/>
    </row>
    <row r="745">
      <c r="D745" s="14"/>
      <c r="E745" s="14"/>
    </row>
    <row r="746">
      <c r="D746" s="14"/>
      <c r="E746" s="14"/>
    </row>
    <row r="747">
      <c r="D747" s="14"/>
      <c r="E747" s="14"/>
    </row>
    <row r="748">
      <c r="D748" s="14"/>
      <c r="E748" s="14"/>
    </row>
    <row r="749">
      <c r="D749" s="14"/>
      <c r="E749" s="14"/>
    </row>
    <row r="750">
      <c r="D750" s="14"/>
      <c r="E750" s="14"/>
    </row>
    <row r="751">
      <c r="D751" s="14"/>
      <c r="E751" s="14"/>
    </row>
    <row r="752">
      <c r="D752" s="14"/>
      <c r="E752" s="14"/>
    </row>
    <row r="753">
      <c r="D753" s="14"/>
      <c r="E753" s="14"/>
    </row>
    <row r="754">
      <c r="D754" s="14"/>
      <c r="E754" s="14"/>
    </row>
    <row r="755">
      <c r="D755" s="14"/>
      <c r="E755" s="14"/>
    </row>
    <row r="756">
      <c r="D756" s="14"/>
      <c r="E756" s="14"/>
    </row>
    <row r="757">
      <c r="D757" s="14"/>
      <c r="E757" s="14"/>
    </row>
    <row r="758">
      <c r="D758" s="14"/>
      <c r="E758" s="14"/>
    </row>
    <row r="759">
      <c r="D759" s="14"/>
      <c r="E759" s="14"/>
    </row>
    <row r="760">
      <c r="D760" s="14"/>
      <c r="E760" s="14"/>
    </row>
    <row r="761">
      <c r="D761" s="14"/>
      <c r="E761" s="14"/>
    </row>
    <row r="762">
      <c r="D762" s="14"/>
      <c r="E762" s="14"/>
    </row>
    <row r="763">
      <c r="D763" s="14"/>
      <c r="E763" s="14"/>
    </row>
    <row r="764">
      <c r="D764" s="14"/>
      <c r="E764" s="14"/>
    </row>
    <row r="765">
      <c r="D765" s="14"/>
      <c r="E765" s="14"/>
    </row>
    <row r="766">
      <c r="D766" s="14"/>
      <c r="E766" s="14"/>
    </row>
    <row r="767">
      <c r="D767" s="14"/>
      <c r="E767" s="14"/>
    </row>
    <row r="768">
      <c r="D768" s="14"/>
      <c r="E768" s="14"/>
    </row>
    <row r="769">
      <c r="D769" s="14"/>
      <c r="E769" s="14"/>
    </row>
    <row r="770">
      <c r="D770" s="14"/>
      <c r="E770" s="14"/>
    </row>
    <row r="771">
      <c r="D771" s="14"/>
      <c r="E771" s="14"/>
    </row>
    <row r="772">
      <c r="D772" s="14"/>
      <c r="E772" s="14"/>
    </row>
    <row r="773">
      <c r="D773" s="14"/>
      <c r="E773" s="14"/>
    </row>
    <row r="774">
      <c r="D774" s="14"/>
      <c r="E774" s="14"/>
    </row>
    <row r="775">
      <c r="D775" s="14"/>
      <c r="E775" s="14"/>
    </row>
    <row r="776">
      <c r="D776" s="14"/>
      <c r="E776" s="14"/>
    </row>
    <row r="777">
      <c r="D777" s="14"/>
      <c r="E777" s="14"/>
    </row>
    <row r="778">
      <c r="D778" s="14"/>
      <c r="E778" s="14"/>
    </row>
    <row r="779">
      <c r="D779" s="14"/>
      <c r="E779" s="14"/>
    </row>
    <row r="780">
      <c r="D780" s="14"/>
      <c r="E780" s="14"/>
    </row>
    <row r="781">
      <c r="D781" s="14"/>
      <c r="E781" s="14"/>
    </row>
    <row r="782">
      <c r="D782" s="14"/>
      <c r="E782" s="14"/>
    </row>
    <row r="783">
      <c r="D783" s="14"/>
      <c r="E783" s="14"/>
    </row>
    <row r="784">
      <c r="D784" s="14"/>
      <c r="E784" s="14"/>
    </row>
    <row r="785">
      <c r="D785" s="14"/>
      <c r="E785" s="14"/>
    </row>
    <row r="786">
      <c r="D786" s="14"/>
      <c r="E786" s="14"/>
    </row>
    <row r="787">
      <c r="D787" s="14"/>
      <c r="E787" s="14"/>
    </row>
    <row r="788">
      <c r="D788" s="14"/>
      <c r="E788" s="14"/>
    </row>
    <row r="789">
      <c r="D789" s="14"/>
      <c r="E789" s="14"/>
    </row>
    <row r="790">
      <c r="D790" s="14"/>
      <c r="E790" s="14"/>
    </row>
    <row r="791">
      <c r="D791" s="14"/>
      <c r="E791" s="14"/>
    </row>
    <row r="792">
      <c r="D792" s="14"/>
      <c r="E792" s="14"/>
    </row>
    <row r="793">
      <c r="D793" s="14"/>
      <c r="E793" s="14"/>
    </row>
    <row r="794">
      <c r="D794" s="14"/>
      <c r="E794" s="14"/>
    </row>
    <row r="795">
      <c r="D795" s="14"/>
      <c r="E795" s="14"/>
    </row>
    <row r="796">
      <c r="D796" s="14"/>
      <c r="E796" s="14"/>
    </row>
    <row r="797">
      <c r="D797" s="14"/>
      <c r="E797" s="14"/>
    </row>
    <row r="798">
      <c r="D798" s="14"/>
      <c r="E798" s="14"/>
    </row>
    <row r="799">
      <c r="D799" s="14"/>
      <c r="E799" s="14"/>
    </row>
    <row r="800">
      <c r="D800" s="14"/>
      <c r="E800" s="14"/>
    </row>
    <row r="801">
      <c r="D801" s="14"/>
      <c r="E801" s="14"/>
    </row>
    <row r="802">
      <c r="D802" s="14"/>
      <c r="E802" s="14"/>
    </row>
    <row r="803">
      <c r="D803" s="14"/>
      <c r="E803" s="14"/>
    </row>
    <row r="804">
      <c r="D804" s="14"/>
      <c r="E804" s="14"/>
    </row>
    <row r="805">
      <c r="D805" s="14"/>
      <c r="E805" s="14"/>
    </row>
    <row r="806">
      <c r="D806" s="14"/>
      <c r="E806" s="14"/>
    </row>
    <row r="807">
      <c r="D807" s="14"/>
      <c r="E807" s="14"/>
    </row>
    <row r="808">
      <c r="D808" s="14"/>
      <c r="E808" s="14"/>
    </row>
    <row r="809">
      <c r="D809" s="14"/>
      <c r="E809" s="14"/>
    </row>
    <row r="810">
      <c r="D810" s="14"/>
      <c r="E810" s="14"/>
    </row>
    <row r="811">
      <c r="D811" s="14"/>
      <c r="E811" s="14"/>
    </row>
    <row r="812">
      <c r="D812" s="14"/>
      <c r="E812" s="14"/>
    </row>
    <row r="813">
      <c r="D813" s="14"/>
      <c r="E813" s="14"/>
    </row>
    <row r="814">
      <c r="D814" s="14"/>
      <c r="E814" s="14"/>
    </row>
    <row r="815">
      <c r="D815" s="14"/>
      <c r="E815" s="14"/>
    </row>
    <row r="816">
      <c r="D816" s="14"/>
      <c r="E816" s="14"/>
    </row>
    <row r="817">
      <c r="D817" s="14"/>
      <c r="E817" s="14"/>
    </row>
    <row r="818">
      <c r="D818" s="14"/>
      <c r="E818" s="14"/>
    </row>
    <row r="819">
      <c r="D819" s="14"/>
      <c r="E819" s="14"/>
    </row>
    <row r="820">
      <c r="D820" s="14"/>
      <c r="E820" s="14"/>
    </row>
    <row r="821">
      <c r="D821" s="14"/>
      <c r="E821" s="14"/>
    </row>
    <row r="822">
      <c r="D822" s="14"/>
      <c r="E822" s="14"/>
    </row>
    <row r="823">
      <c r="D823" s="14"/>
      <c r="E823" s="14"/>
    </row>
    <row r="824">
      <c r="D824" s="14"/>
      <c r="E824" s="14"/>
    </row>
    <row r="825">
      <c r="D825" s="14"/>
      <c r="E825" s="14"/>
    </row>
    <row r="826">
      <c r="D826" s="14"/>
      <c r="E826" s="14"/>
    </row>
    <row r="827">
      <c r="D827" s="14"/>
      <c r="E827" s="14"/>
    </row>
    <row r="828">
      <c r="D828" s="14"/>
      <c r="E828" s="14"/>
    </row>
    <row r="829">
      <c r="D829" s="14"/>
      <c r="E829" s="14"/>
    </row>
    <row r="830">
      <c r="D830" s="14"/>
      <c r="E830" s="14"/>
    </row>
    <row r="831">
      <c r="D831" s="14"/>
      <c r="E831" s="14"/>
    </row>
    <row r="832">
      <c r="D832" s="14"/>
      <c r="E832" s="14"/>
    </row>
    <row r="833">
      <c r="D833" s="14"/>
      <c r="E833" s="14"/>
    </row>
    <row r="834">
      <c r="D834" s="14"/>
      <c r="E834" s="14"/>
    </row>
    <row r="835">
      <c r="D835" s="14"/>
      <c r="E835" s="14"/>
    </row>
    <row r="836">
      <c r="D836" s="14"/>
      <c r="E836" s="14"/>
    </row>
    <row r="837">
      <c r="D837" s="14"/>
      <c r="E837" s="14"/>
    </row>
    <row r="838">
      <c r="D838" s="14"/>
      <c r="E838" s="14"/>
    </row>
    <row r="839">
      <c r="D839" s="14"/>
      <c r="E839" s="14"/>
    </row>
    <row r="840">
      <c r="D840" s="14"/>
      <c r="E840" s="14"/>
    </row>
    <row r="841">
      <c r="D841" s="14"/>
      <c r="E841" s="14"/>
    </row>
    <row r="842">
      <c r="D842" s="14"/>
      <c r="E842" s="14"/>
    </row>
    <row r="843">
      <c r="D843" s="14"/>
      <c r="E843" s="14"/>
    </row>
    <row r="844">
      <c r="D844" s="14"/>
      <c r="E844" s="14"/>
    </row>
    <row r="845">
      <c r="D845" s="14"/>
      <c r="E845" s="14"/>
    </row>
    <row r="846">
      <c r="D846" s="14"/>
      <c r="E846" s="14"/>
    </row>
    <row r="847">
      <c r="D847" s="14"/>
      <c r="E847" s="14"/>
    </row>
    <row r="848">
      <c r="D848" s="14"/>
      <c r="E848" s="14"/>
    </row>
    <row r="849">
      <c r="D849" s="14"/>
      <c r="E849" s="14"/>
    </row>
    <row r="850">
      <c r="D850" s="14"/>
      <c r="E850" s="14"/>
    </row>
    <row r="851">
      <c r="D851" s="14"/>
      <c r="E851" s="14"/>
    </row>
    <row r="852">
      <c r="D852" s="14"/>
      <c r="E852" s="14"/>
    </row>
    <row r="853">
      <c r="D853" s="14"/>
      <c r="E853" s="14"/>
    </row>
    <row r="854">
      <c r="D854" s="14"/>
      <c r="E854" s="14"/>
    </row>
    <row r="855">
      <c r="D855" s="14"/>
      <c r="E855" s="14"/>
    </row>
    <row r="856">
      <c r="D856" s="14"/>
      <c r="E856" s="14"/>
    </row>
    <row r="857">
      <c r="D857" s="14"/>
      <c r="E857" s="14"/>
    </row>
    <row r="858">
      <c r="D858" s="14"/>
      <c r="E858" s="14"/>
    </row>
    <row r="859">
      <c r="D859" s="14"/>
      <c r="E859" s="14"/>
    </row>
    <row r="860">
      <c r="D860" s="14"/>
      <c r="E860" s="14"/>
    </row>
    <row r="861">
      <c r="D861" s="14"/>
      <c r="E861" s="14"/>
    </row>
    <row r="862">
      <c r="D862" s="14"/>
      <c r="E862" s="14"/>
    </row>
    <row r="863">
      <c r="D863" s="14"/>
      <c r="E863" s="14"/>
    </row>
    <row r="864">
      <c r="D864" s="14"/>
      <c r="E864" s="14"/>
    </row>
    <row r="865">
      <c r="D865" s="14"/>
      <c r="E865" s="14"/>
    </row>
    <row r="866">
      <c r="D866" s="14"/>
      <c r="E866" s="14"/>
    </row>
    <row r="867">
      <c r="D867" s="14"/>
      <c r="E867" s="14"/>
    </row>
    <row r="868">
      <c r="D868" s="14"/>
      <c r="E868" s="14"/>
    </row>
    <row r="869">
      <c r="D869" s="14"/>
      <c r="E869" s="14"/>
    </row>
    <row r="870">
      <c r="D870" s="14"/>
      <c r="E870" s="14"/>
    </row>
    <row r="871">
      <c r="D871" s="14"/>
      <c r="E871" s="14"/>
    </row>
    <row r="872">
      <c r="D872" s="14"/>
      <c r="E872" s="14"/>
    </row>
    <row r="873">
      <c r="D873" s="14"/>
      <c r="E873" s="14"/>
    </row>
    <row r="874">
      <c r="D874" s="14"/>
      <c r="E874" s="14"/>
    </row>
    <row r="875">
      <c r="D875" s="14"/>
      <c r="E875" s="14"/>
    </row>
    <row r="876">
      <c r="D876" s="14"/>
      <c r="E876" s="14"/>
    </row>
    <row r="877">
      <c r="D877" s="14"/>
      <c r="E877" s="14"/>
    </row>
    <row r="878">
      <c r="D878" s="14"/>
      <c r="E878" s="14"/>
    </row>
    <row r="879">
      <c r="D879" s="14"/>
      <c r="E879" s="14"/>
    </row>
    <row r="880">
      <c r="D880" s="14"/>
      <c r="E880" s="14"/>
    </row>
    <row r="881">
      <c r="D881" s="14"/>
      <c r="E881" s="14"/>
    </row>
    <row r="882">
      <c r="D882" s="14"/>
      <c r="E882" s="14"/>
    </row>
    <row r="883">
      <c r="D883" s="14"/>
      <c r="E883" s="14"/>
    </row>
    <row r="884">
      <c r="D884" s="14"/>
      <c r="E884" s="14"/>
    </row>
    <row r="885">
      <c r="D885" s="14"/>
      <c r="E885" s="14"/>
    </row>
    <row r="886">
      <c r="D886" s="14"/>
      <c r="E886" s="14"/>
    </row>
    <row r="887">
      <c r="D887" s="14"/>
      <c r="E887" s="14"/>
    </row>
    <row r="888">
      <c r="D888" s="14"/>
      <c r="E888" s="14"/>
    </row>
    <row r="889">
      <c r="D889" s="14"/>
      <c r="E889" s="14"/>
    </row>
    <row r="890">
      <c r="D890" s="14"/>
      <c r="E890" s="14"/>
    </row>
    <row r="891">
      <c r="D891" s="14"/>
      <c r="E891" s="14"/>
    </row>
    <row r="892">
      <c r="D892" s="14"/>
      <c r="E892" s="14"/>
    </row>
    <row r="893">
      <c r="D893" s="14"/>
      <c r="E893" s="14"/>
    </row>
    <row r="894">
      <c r="D894" s="14"/>
      <c r="E894" s="14"/>
    </row>
    <row r="895">
      <c r="D895" s="14"/>
      <c r="E895" s="14"/>
    </row>
    <row r="896">
      <c r="D896" s="14"/>
      <c r="E896" s="14"/>
    </row>
    <row r="897">
      <c r="D897" s="14"/>
      <c r="E897" s="14"/>
    </row>
    <row r="898">
      <c r="D898" s="14"/>
      <c r="E898" s="14"/>
    </row>
    <row r="899">
      <c r="D899" s="14"/>
      <c r="E899" s="14"/>
    </row>
    <row r="900">
      <c r="D900" s="14"/>
      <c r="E900" s="14"/>
    </row>
    <row r="901">
      <c r="D901" s="14"/>
      <c r="E901" s="14"/>
    </row>
    <row r="902">
      <c r="D902" s="14"/>
      <c r="E902" s="14"/>
    </row>
    <row r="903">
      <c r="D903" s="14"/>
      <c r="E903" s="14"/>
    </row>
    <row r="904">
      <c r="D904" s="14"/>
      <c r="E904" s="14"/>
    </row>
    <row r="905">
      <c r="D905" s="14"/>
      <c r="E905" s="14"/>
    </row>
    <row r="906">
      <c r="D906" s="14"/>
      <c r="E906" s="14"/>
    </row>
    <row r="907">
      <c r="D907" s="14"/>
      <c r="E907" s="14"/>
    </row>
    <row r="908">
      <c r="D908" s="14"/>
      <c r="E908" s="14"/>
    </row>
    <row r="909">
      <c r="D909" s="14"/>
      <c r="E909" s="14"/>
    </row>
    <row r="910">
      <c r="D910" s="14"/>
      <c r="E910" s="14"/>
    </row>
    <row r="911">
      <c r="D911" s="14"/>
      <c r="E911" s="14"/>
    </row>
    <row r="912">
      <c r="D912" s="14"/>
      <c r="E912" s="14"/>
    </row>
    <row r="913">
      <c r="D913" s="14"/>
      <c r="E913" s="14"/>
    </row>
    <row r="914">
      <c r="D914" s="14"/>
      <c r="E914" s="14"/>
    </row>
    <row r="915">
      <c r="D915" s="14"/>
      <c r="E915" s="14"/>
    </row>
    <row r="916">
      <c r="D916" s="14"/>
      <c r="E916" s="14"/>
    </row>
    <row r="917">
      <c r="D917" s="14"/>
      <c r="E917" s="14"/>
    </row>
    <row r="918">
      <c r="D918" s="14"/>
      <c r="E918" s="14"/>
    </row>
    <row r="919">
      <c r="D919" s="14"/>
      <c r="E919" s="14"/>
    </row>
    <row r="920">
      <c r="D920" s="14"/>
      <c r="E920" s="14"/>
    </row>
    <row r="921">
      <c r="D921" s="14"/>
      <c r="E921" s="14"/>
    </row>
    <row r="922">
      <c r="D922" s="14"/>
      <c r="E922" s="14"/>
    </row>
    <row r="923">
      <c r="D923" s="14"/>
      <c r="E923" s="14"/>
    </row>
    <row r="924">
      <c r="D924" s="14"/>
      <c r="E924" s="14"/>
    </row>
    <row r="925">
      <c r="D925" s="14"/>
      <c r="E925" s="14"/>
    </row>
    <row r="926">
      <c r="D926" s="14"/>
      <c r="E926" s="14"/>
    </row>
    <row r="927">
      <c r="D927" s="14"/>
      <c r="E927" s="14"/>
    </row>
    <row r="928">
      <c r="D928" s="14"/>
      <c r="E928" s="14"/>
    </row>
    <row r="929">
      <c r="D929" s="14"/>
      <c r="E929" s="14"/>
    </row>
    <row r="930">
      <c r="D930" s="14"/>
      <c r="E930" s="14"/>
    </row>
    <row r="931">
      <c r="D931" s="14"/>
      <c r="E931" s="14"/>
    </row>
    <row r="932">
      <c r="D932" s="14"/>
      <c r="E932" s="14"/>
    </row>
    <row r="933">
      <c r="D933" s="14"/>
      <c r="E933" s="14"/>
    </row>
    <row r="934">
      <c r="D934" s="14"/>
      <c r="E934" s="14"/>
    </row>
    <row r="935">
      <c r="D935" s="14"/>
      <c r="E935" s="14"/>
    </row>
    <row r="936">
      <c r="D936" s="14"/>
      <c r="E936" s="14"/>
    </row>
    <row r="937">
      <c r="D937" s="14"/>
      <c r="E937" s="14"/>
    </row>
    <row r="938">
      <c r="D938" s="14"/>
      <c r="E938" s="14"/>
    </row>
    <row r="939">
      <c r="D939" s="14"/>
      <c r="E939" s="14"/>
    </row>
    <row r="940">
      <c r="D940" s="14"/>
      <c r="E940" s="14"/>
    </row>
    <row r="941">
      <c r="D941" s="14"/>
      <c r="E941" s="14"/>
    </row>
    <row r="942">
      <c r="D942" s="14"/>
      <c r="E942" s="14"/>
    </row>
    <row r="943">
      <c r="D943" s="14"/>
      <c r="E943" s="14"/>
    </row>
    <row r="944">
      <c r="D944" s="14"/>
      <c r="E944" s="14"/>
    </row>
    <row r="945">
      <c r="D945" s="14"/>
      <c r="E945" s="14"/>
    </row>
    <row r="946">
      <c r="D946" s="14"/>
      <c r="E946" s="14"/>
    </row>
    <row r="947">
      <c r="D947" s="14"/>
      <c r="E947" s="14"/>
    </row>
    <row r="948">
      <c r="D948" s="14"/>
      <c r="E948" s="14"/>
    </row>
    <row r="949">
      <c r="D949" s="14"/>
      <c r="E949" s="14"/>
    </row>
    <row r="950">
      <c r="D950" s="14"/>
      <c r="E950" s="14"/>
    </row>
    <row r="951">
      <c r="D951" s="14"/>
      <c r="E951" s="14"/>
    </row>
    <row r="952">
      <c r="D952" s="14"/>
      <c r="E952" s="14"/>
    </row>
    <row r="953">
      <c r="D953" s="14"/>
      <c r="E953" s="14"/>
    </row>
    <row r="954">
      <c r="D954" s="14"/>
      <c r="E954" s="14"/>
    </row>
    <row r="955">
      <c r="D955" s="14"/>
      <c r="E955" s="14"/>
    </row>
    <row r="956">
      <c r="D956" s="14"/>
      <c r="E956" s="14"/>
    </row>
    <row r="957">
      <c r="D957" s="14"/>
      <c r="E957" s="14"/>
    </row>
    <row r="958">
      <c r="D958" s="14"/>
      <c r="E958" s="14"/>
    </row>
    <row r="959">
      <c r="D959" s="14"/>
      <c r="E959" s="14"/>
    </row>
    <row r="960">
      <c r="D960" s="14"/>
      <c r="E960" s="14"/>
    </row>
    <row r="961">
      <c r="D961" s="14"/>
      <c r="E961" s="14"/>
    </row>
    <row r="962">
      <c r="D962" s="14"/>
      <c r="E962" s="14"/>
    </row>
    <row r="963">
      <c r="D963" s="14"/>
      <c r="E963" s="14"/>
    </row>
    <row r="964">
      <c r="D964" s="14"/>
      <c r="E964" s="14"/>
    </row>
    <row r="965">
      <c r="D965" s="14"/>
      <c r="E965" s="14"/>
    </row>
    <row r="966">
      <c r="D966" s="14"/>
      <c r="E966" s="14"/>
    </row>
    <row r="967">
      <c r="D967" s="14"/>
      <c r="E967" s="14"/>
    </row>
    <row r="968">
      <c r="D968" s="14"/>
      <c r="E968" s="14"/>
    </row>
    <row r="969">
      <c r="D969" s="14"/>
      <c r="E969" s="14"/>
    </row>
    <row r="970">
      <c r="D970" s="14"/>
      <c r="E970" s="14"/>
    </row>
    <row r="971">
      <c r="D971" s="14"/>
      <c r="E971" s="14"/>
    </row>
    <row r="972">
      <c r="D972" s="14"/>
      <c r="E972" s="14"/>
    </row>
    <row r="973">
      <c r="D973" s="14"/>
      <c r="E973" s="14"/>
    </row>
    <row r="974">
      <c r="D974" s="14"/>
      <c r="E974" s="14"/>
    </row>
    <row r="975">
      <c r="D975" s="14"/>
      <c r="E975" s="14"/>
    </row>
    <row r="976">
      <c r="D976" s="14"/>
      <c r="E976" s="14"/>
    </row>
    <row r="977">
      <c r="D977" s="14"/>
      <c r="E977" s="14"/>
    </row>
    <row r="978">
      <c r="D978" s="14"/>
      <c r="E978" s="14"/>
    </row>
    <row r="979">
      <c r="D979" s="14"/>
      <c r="E979" s="14"/>
    </row>
    <row r="980">
      <c r="D980" s="14"/>
      <c r="E980" s="14"/>
    </row>
    <row r="981">
      <c r="D981" s="14"/>
      <c r="E981" s="14"/>
    </row>
    <row r="982">
      <c r="D982" s="14"/>
      <c r="E982" s="14"/>
    </row>
    <row r="983">
      <c r="D983" s="14"/>
      <c r="E983" s="14"/>
    </row>
    <row r="984">
      <c r="D984" s="14"/>
      <c r="E984" s="14"/>
    </row>
    <row r="985">
      <c r="D985" s="14"/>
      <c r="E985" s="14"/>
    </row>
    <row r="986">
      <c r="D986" s="14"/>
      <c r="E986" s="14"/>
    </row>
    <row r="987">
      <c r="D987" s="14"/>
      <c r="E987" s="14"/>
    </row>
    <row r="988">
      <c r="D988" s="14"/>
      <c r="E988" s="14"/>
    </row>
    <row r="989">
      <c r="D989" s="14"/>
      <c r="E989" s="14"/>
    </row>
    <row r="990">
      <c r="D990" s="14"/>
      <c r="E990" s="14"/>
    </row>
    <row r="991">
      <c r="D991" s="14"/>
      <c r="E991" s="14"/>
    </row>
    <row r="992">
      <c r="D992" s="14"/>
      <c r="E992" s="14"/>
    </row>
    <row r="993">
      <c r="D993" s="14"/>
      <c r="E993" s="14"/>
    </row>
    <row r="994">
      <c r="D994" s="14"/>
      <c r="E994" s="14"/>
    </row>
    <row r="995">
      <c r="D995" s="14"/>
      <c r="E995" s="14"/>
    </row>
    <row r="996">
      <c r="D996" s="14"/>
      <c r="E996" s="14"/>
    </row>
    <row r="997">
      <c r="D997" s="14"/>
      <c r="E997" s="14"/>
    </row>
    <row r="998">
      <c r="D998" s="14"/>
      <c r="E998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  <c r="B1" s="16" t="s">
        <v>88</v>
      </c>
      <c r="C1" s="16" t="s">
        <v>89</v>
      </c>
      <c r="D1" s="16" t="s">
        <v>90</v>
      </c>
      <c r="E1" s="17" t="s">
        <v>91</v>
      </c>
      <c r="F1" s="16" t="s">
        <v>92</v>
      </c>
      <c r="G1" s="16" t="s">
        <v>93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6" t="s">
        <v>0</v>
      </c>
      <c r="B2" s="16" t="s">
        <v>1</v>
      </c>
      <c r="C2" s="16" t="s">
        <v>94</v>
      </c>
      <c r="D2" s="16" t="s">
        <v>2</v>
      </c>
      <c r="E2" s="17" t="s">
        <v>3</v>
      </c>
      <c r="F2" s="16" t="s">
        <v>5</v>
      </c>
      <c r="G2" s="16" t="s">
        <v>6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">
        <v>95</v>
      </c>
      <c r="B3" s="20">
        <v>9.17</v>
      </c>
      <c r="C3" s="20">
        <f t="shared" ref="C3:C9" si="1">B3+1</f>
        <v>10.17</v>
      </c>
      <c r="D3" s="20">
        <f t="shared" ref="D3:D9" si="2">C3*1.25</f>
        <v>12.7125</v>
      </c>
      <c r="E3" s="20">
        <f t="shared" ref="E3:E9" si="3">C3*1.45</f>
        <v>14.7465</v>
      </c>
      <c r="F3" s="20">
        <f t="shared" ref="F3:F9" si="4">C3*1.65</f>
        <v>16.7805</v>
      </c>
      <c r="G3" s="20">
        <f t="shared" ref="G3:G9" si="5">C3*1.85</f>
        <v>18.8145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96</v>
      </c>
      <c r="B4" s="20">
        <v>6.45</v>
      </c>
      <c r="C4" s="20">
        <f t="shared" si="1"/>
        <v>7.45</v>
      </c>
      <c r="D4" s="20">
        <f t="shared" si="2"/>
        <v>9.3125</v>
      </c>
      <c r="E4" s="20">
        <f t="shared" si="3"/>
        <v>10.8025</v>
      </c>
      <c r="F4" s="20">
        <f t="shared" si="4"/>
        <v>12.2925</v>
      </c>
      <c r="G4" s="20">
        <f t="shared" si="5"/>
        <v>13.7825</v>
      </c>
      <c r="H4" s="18"/>
      <c r="I4" s="18"/>
      <c r="J4" s="18"/>
      <c r="K4" s="18" t="s">
        <v>97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98</v>
      </c>
      <c r="B5" s="20">
        <v>17.03</v>
      </c>
      <c r="C5" s="20">
        <f t="shared" si="1"/>
        <v>18.03</v>
      </c>
      <c r="D5" s="20">
        <f t="shared" si="2"/>
        <v>22.5375</v>
      </c>
      <c r="E5" s="20">
        <f t="shared" si="3"/>
        <v>26.1435</v>
      </c>
      <c r="F5" s="20">
        <f t="shared" si="4"/>
        <v>29.7495</v>
      </c>
      <c r="G5" s="20">
        <f t="shared" si="5"/>
        <v>33.3555</v>
      </c>
      <c r="H5" s="18"/>
      <c r="I5" s="18"/>
      <c r="J5" s="18"/>
      <c r="K5" s="18" t="s">
        <v>97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99</v>
      </c>
      <c r="B6" s="20">
        <v>13.0</v>
      </c>
      <c r="C6" s="20">
        <f t="shared" si="1"/>
        <v>14</v>
      </c>
      <c r="D6" s="20">
        <f t="shared" si="2"/>
        <v>17.5</v>
      </c>
      <c r="E6" s="20">
        <f t="shared" si="3"/>
        <v>20.3</v>
      </c>
      <c r="F6" s="20">
        <f t="shared" si="4"/>
        <v>23.1</v>
      </c>
      <c r="G6" s="20">
        <f t="shared" si="5"/>
        <v>25.9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">
        <v>100</v>
      </c>
      <c r="B7" s="20">
        <v>3.47</v>
      </c>
      <c r="C7" s="20">
        <f t="shared" si="1"/>
        <v>4.47</v>
      </c>
      <c r="D7" s="20">
        <f t="shared" si="2"/>
        <v>5.5875</v>
      </c>
      <c r="E7" s="20">
        <f t="shared" si="3"/>
        <v>6.4815</v>
      </c>
      <c r="F7" s="20">
        <f t="shared" si="4"/>
        <v>7.3755</v>
      </c>
      <c r="G7" s="20">
        <f t="shared" si="5"/>
        <v>8.2695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">
        <v>101</v>
      </c>
      <c r="B8" s="20">
        <v>4.15</v>
      </c>
      <c r="C8" s="20">
        <f t="shared" si="1"/>
        <v>5.15</v>
      </c>
      <c r="D8" s="20">
        <f t="shared" si="2"/>
        <v>6.4375</v>
      </c>
      <c r="E8" s="20">
        <f t="shared" si="3"/>
        <v>7.4675</v>
      </c>
      <c r="F8" s="20">
        <f t="shared" si="4"/>
        <v>8.4975</v>
      </c>
      <c r="G8" s="20">
        <f t="shared" si="5"/>
        <v>9.5275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">
        <v>102</v>
      </c>
      <c r="B9" s="20">
        <v>9.22</v>
      </c>
      <c r="C9" s="20">
        <f t="shared" si="1"/>
        <v>10.22</v>
      </c>
      <c r="D9" s="20">
        <f t="shared" si="2"/>
        <v>12.775</v>
      </c>
      <c r="E9" s="20">
        <f t="shared" si="3"/>
        <v>14.819</v>
      </c>
      <c r="F9" s="20">
        <f t="shared" si="4"/>
        <v>16.863</v>
      </c>
      <c r="G9" s="20">
        <f t="shared" si="5"/>
        <v>18.907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21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21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21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21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21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21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21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21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21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21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21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21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21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21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21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21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21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21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21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21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21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21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21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21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21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21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21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21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21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21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21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21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21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21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21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21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21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21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21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21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21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21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21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21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21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21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21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21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21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21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21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21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21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21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21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21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21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21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21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21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21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21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21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21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21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21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21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21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21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21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21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21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21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21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21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21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21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21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21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21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21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21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21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21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21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21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21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21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21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21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21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21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21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21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21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21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21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21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21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21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21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21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21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21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21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21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21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21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21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21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21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21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21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21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21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21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21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21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21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21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21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21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21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21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21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21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21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21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21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21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21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21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21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21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21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21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21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21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21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21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21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21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21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21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21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21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21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21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21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21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21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21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21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21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21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21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21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21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21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21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21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21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21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21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21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21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21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21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21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21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21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21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21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21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21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21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21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21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21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21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21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21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21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21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21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21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21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21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21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21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21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21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21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21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21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21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21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21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21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21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21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21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21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21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21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21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21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21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21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21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21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21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21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21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21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21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21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21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21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21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21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21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21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21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21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21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21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21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21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21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21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21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21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21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21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21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21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21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21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21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21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21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21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21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21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21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21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21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21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21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21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21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21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21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21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21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21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21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21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21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21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21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21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21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21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21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21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21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21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21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21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21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21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21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21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21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21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21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21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21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21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21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21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21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21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21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21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21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21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21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21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21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21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21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21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21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21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21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21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21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21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21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21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21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21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21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21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21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21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21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21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21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21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21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21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21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21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21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21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21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21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21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21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21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21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21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21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21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21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21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21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21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21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21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21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21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21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21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21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21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21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21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21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21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21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21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21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21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21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21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21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21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21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21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21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21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21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21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21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21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21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21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21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21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21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21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21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21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21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21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21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21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21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21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21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21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21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21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21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21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21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21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21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21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21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21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21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21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21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21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21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21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21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21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21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21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21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21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21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21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21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21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21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21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21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21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21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21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21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21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21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21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21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21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21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21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21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21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21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21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21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21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21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21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21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21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21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21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21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21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21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21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21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21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21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21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21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21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21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21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21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21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21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21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21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21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21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21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21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21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21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21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21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21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21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21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21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21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21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21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21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21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21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21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21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21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21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21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21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21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21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21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21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21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21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21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21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21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21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21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21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21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21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21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21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21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21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21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21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21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21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21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21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21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21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21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21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21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21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21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21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21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21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21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21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21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21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21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21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21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21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21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21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21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21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21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21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21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21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21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21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21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21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21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21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drawing r:id="rId1"/>
</worksheet>
</file>