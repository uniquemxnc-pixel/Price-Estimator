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<sst xmlns="http://schemas.openxmlformats.org/spreadsheetml/2006/main" count="33" uniqueCount="33">
  <si>
    <t>Product</t>
  </si>
  <si>
    <t>Base Price</t>
  </si>
  <si>
    <t>Sub Distributors</t>
  </si>
  <si>
    <t>In-Person Restaurants</t>
  </si>
  <si>
    <t>Marketplace Restaurants</t>
  </si>
  <si>
    <t>Marketplace Residential</t>
  </si>
  <si>
    <t>C TOSCANA 370ML</t>
  </si>
  <si>
    <t>C FLAUTA CALIFORNIA 190ML EK24</t>
  </si>
  <si>
    <t>C CALIFORNIA 470ML EK24</t>
  </si>
  <si>
    <t>C CALIFORNIA 590ML EK24</t>
  </si>
  <si>
    <t>C CERVECERA CALIFORNIA 350ML EK241</t>
  </si>
  <si>
    <t>SUPER TARRO CERVECERO 1L/TARRO</t>
  </si>
  <si>
    <t>TARRO BERLÍN 500ML EK12</t>
  </si>
  <si>
    <t>T CERVECERO MUNICH 420ML EK12</t>
  </si>
  <si>
    <t>V PILSNER 460ML EK24</t>
  </si>
  <si>
    <t>VASO TEQUILERO 45ML</t>
  </si>
  <si>
    <t>VASO TEQUILERO DOBLE 60ML</t>
  </si>
  <si>
    <t>TEQUILERO SIENA 45ML</t>
  </si>
  <si>
    <t>C GIN 650ML EK12</t>
  </si>
  <si>
    <t>V NAPA STEMPLESS 17 OZ EK12</t>
  </si>
  <si>
    <t>C MARTINI 10 Oz EK24</t>
  </si>
  <si>
    <t>VASO CUBERO SOAVE 290ML</t>
  </si>
  <si>
    <t>VASO REFRESCO CASALE 490ML</t>
  </si>
  <si>
    <t>V CASALE 590ML EK12 LB</t>
  </si>
  <si>
    <t>JARRA CASALE 1.7 L/JARRA DE VIDRIO-PITC</t>
  </si>
  <si>
    <t>VASO HB SIENA 370ML</t>
  </si>
  <si>
    <t>VASO RERESCO SIENA 485ML</t>
  </si>
  <si>
    <t>COPA MALTEADA 400ML</t>
  </si>
  <si>
    <t>COPA IMPERIA 525ML</t>
  </si>
  <si>
    <t>C POSTRE 10 Oz EK24</t>
  </si>
  <si>
    <t>COPA AGUA FERRARA 350ML</t>
  </si>
  <si>
    <t>VASO OF NOVARA 210ML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</si>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</sst>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3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8E7CC3"/>
        <bgColor rgb="FF8E7CC3"/>
      </patternFill>
    </fill>
    <fill>
      <patternFill patternType="solid">
        <fgColor rgb="FFFCE5CD"/>
        <bgColor rgb="FFFCE5CD"/>
      </patternFill>
    </fill>
    <fill>
      <patternFill patternType="solid">
        <fgColor rgb="FFB4A7D6"/>
        <bgColor rgb="FFB4A7D6"/>
      </patternFill>
    </fill>
    <fill>
      <patternFill patternType="solid">
        <fgColor rgb="FFD9D2E9"/>
        <bgColor rgb="FFD9D2E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1"/>
    </xf>
    <xf borderId="1" fillId="2" fontId="1" numFmtId="0" xfId="0" applyAlignment="1" applyBorder="1" applyFont="1">
      <alignment readingOrder="0" shrinkToFit="0" vertical="bottom" wrapText="1"/>
    </xf>
    <xf borderId="1" fillId="2" fontId="1" numFmtId="0" xfId="0" applyAlignment="1" applyBorder="1" applyFont="1">
      <alignment shrinkToFit="0" vertical="bottom" wrapText="1"/>
    </xf>
    <xf borderId="1" fillId="3" fontId="1" numFmtId="0" xfId="0" applyAlignment="1" applyBorder="1" applyFill="1" applyFont="1">
      <alignment shrinkToFit="0" vertical="bottom" wrapText="1"/>
    </xf>
    <xf borderId="1" fillId="4" fontId="2" numFmtId="0" xfId="0" applyAlignment="1" applyBorder="1" applyFill="1" applyFont="1">
      <alignment readingOrder="0" shrinkToFit="0" wrapText="1"/>
    </xf>
    <xf borderId="1" fillId="5" fontId="2" numFmtId="164" xfId="0" applyAlignment="1" applyBorder="1" applyFill="1" applyFont="1" applyNumberFormat="1">
      <alignment readingOrder="0" shrinkToFit="0" wrapText="1"/>
    </xf>
    <xf borderId="1" fillId="5" fontId="2" numFmtId="164" xfId="0" applyAlignment="1" applyBorder="1" applyFont="1" applyNumberFormat="1">
      <alignment shrinkToFit="0" wrapText="1"/>
    </xf>
    <xf borderId="1" fillId="3" fontId="2" numFmtId="164" xfId="0" applyAlignment="1" applyBorder="1" applyFont="1" applyNumberFormat="1">
      <alignment shrinkToFit="0" wrapText="1"/>
    </xf>
    <xf borderId="0" fillId="0" fontId="2" numFmtId="0" xfId="0" applyAlignment="1" applyFont="1">
      <alignment shrinkToFit="0" wrapText="1"/>
    </xf>
    <xf borderId="0" fillId="3" fontId="2" numFmtId="0" xfId="0" applyAlignment="1" applyFont="1">
      <alignment shrinkToFit="0" wrapText="1"/>
    </xf>
    <xf borderId="0" fillId="3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6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>
      <c r="A2" s="5" t="s">
        <v>6</v>
      </c>
      <c r="B2" s="6">
        <v>0.725</v>
      </c>
      <c r="C2" s="7">
        <f t="shared" ref="C2:C28" si="1">B2*1.25</f>
        <v>0.90625</v>
      </c>
      <c r="D2" s="8">
        <f t="shared" ref="D2:D28" si="2">B2*1.45</f>
        <v>1.05125</v>
      </c>
      <c r="E2" s="7">
        <f t="shared" ref="E2:E28" si="3">B2*1.65</f>
        <v>1.19625</v>
      </c>
      <c r="F2" s="7">
        <f t="shared" ref="F2:F28" si="4">B2*1.85</f>
        <v>1.34125</v>
      </c>
    </row>
    <row r="3">
      <c r="A3" s="5" t="s">
        <v>7</v>
      </c>
      <c r="B3" s="6">
        <v>0.648</v>
      </c>
      <c r="C3" s="7">
        <f t="shared" si="1"/>
        <v>0.81</v>
      </c>
      <c r="D3" s="8">
        <f t="shared" si="2"/>
        <v>0.9396</v>
      </c>
      <c r="E3" s="7">
        <f t="shared" si="3"/>
        <v>1.0692</v>
      </c>
      <c r="F3" s="7">
        <f t="shared" si="4"/>
        <v>1.1988</v>
      </c>
    </row>
    <row r="4">
      <c r="A4" s="5" t="s">
        <v>8</v>
      </c>
      <c r="B4" s="6">
        <v>0.919</v>
      </c>
      <c r="C4" s="7">
        <f t="shared" si="1"/>
        <v>1.14875</v>
      </c>
      <c r="D4" s="8">
        <f t="shared" si="2"/>
        <v>1.33255</v>
      </c>
      <c r="E4" s="7">
        <f t="shared" si="3"/>
        <v>1.51635</v>
      </c>
      <c r="F4" s="7">
        <f t="shared" si="4"/>
        <v>1.70015</v>
      </c>
    </row>
    <row r="5">
      <c r="A5" s="5" t="s">
        <v>9</v>
      </c>
      <c r="B5" s="6">
        <v>1.118</v>
      </c>
      <c r="C5" s="7">
        <f t="shared" si="1"/>
        <v>1.3975</v>
      </c>
      <c r="D5" s="8">
        <f t="shared" si="2"/>
        <v>1.6211</v>
      </c>
      <c r="E5" s="7">
        <f t="shared" si="3"/>
        <v>1.8447</v>
      </c>
      <c r="F5" s="7">
        <f t="shared" si="4"/>
        <v>2.0683</v>
      </c>
    </row>
    <row r="6">
      <c r="A6" s="5" t="s">
        <v>10</v>
      </c>
      <c r="B6" s="6">
        <v>0.704</v>
      </c>
      <c r="C6" s="7">
        <f t="shared" si="1"/>
        <v>0.88</v>
      </c>
      <c r="D6" s="8">
        <f t="shared" si="2"/>
        <v>1.0208</v>
      </c>
      <c r="E6" s="7">
        <f t="shared" si="3"/>
        <v>1.1616</v>
      </c>
      <c r="F6" s="7">
        <f t="shared" si="4"/>
        <v>1.3024</v>
      </c>
    </row>
    <row r="7">
      <c r="A7" s="5" t="s">
        <v>11</v>
      </c>
      <c r="B7" s="6">
        <v>2.886</v>
      </c>
      <c r="C7" s="7">
        <f t="shared" si="1"/>
        <v>3.6075</v>
      </c>
      <c r="D7" s="8">
        <f t="shared" si="2"/>
        <v>4.1847</v>
      </c>
      <c r="E7" s="7">
        <f t="shared" si="3"/>
        <v>4.7619</v>
      </c>
      <c r="F7" s="7">
        <f t="shared" si="4"/>
        <v>5.3391</v>
      </c>
    </row>
    <row r="8">
      <c r="A8" s="5" t="s">
        <v>12</v>
      </c>
      <c r="B8" s="6">
        <v>1.345</v>
      </c>
      <c r="C8" s="7">
        <f t="shared" si="1"/>
        <v>1.68125</v>
      </c>
      <c r="D8" s="8">
        <f t="shared" si="2"/>
        <v>1.95025</v>
      </c>
      <c r="E8" s="7">
        <f t="shared" si="3"/>
        <v>2.21925</v>
      </c>
      <c r="F8" s="7">
        <f t="shared" si="4"/>
        <v>2.48825</v>
      </c>
    </row>
    <row r="9">
      <c r="A9" s="5" t="s">
        <v>13</v>
      </c>
      <c r="B9" s="6">
        <v>1.478</v>
      </c>
      <c r="C9" s="7">
        <f t="shared" si="1"/>
        <v>1.8475</v>
      </c>
      <c r="D9" s="8">
        <f t="shared" si="2"/>
        <v>2.1431</v>
      </c>
      <c r="E9" s="7">
        <f t="shared" si="3"/>
        <v>2.4387</v>
      </c>
      <c r="F9" s="7">
        <f t="shared" si="4"/>
        <v>2.7343</v>
      </c>
    </row>
    <row r="10">
      <c r="A10" s="5" t="s">
        <v>14</v>
      </c>
      <c r="B10" s="6">
        <v>0.817</v>
      </c>
      <c r="C10" s="7">
        <f t="shared" si="1"/>
        <v>1.02125</v>
      </c>
      <c r="D10" s="8">
        <f t="shared" si="2"/>
        <v>1.18465</v>
      </c>
      <c r="E10" s="7">
        <f t="shared" si="3"/>
        <v>1.34805</v>
      </c>
      <c r="F10" s="7">
        <f t="shared" si="4"/>
        <v>1.51145</v>
      </c>
    </row>
    <row r="11">
      <c r="A11" s="5" t="s">
        <v>15</v>
      </c>
      <c r="B11" s="6">
        <v>0.333</v>
      </c>
      <c r="C11" s="7">
        <f t="shared" si="1"/>
        <v>0.41625</v>
      </c>
      <c r="D11" s="8">
        <f t="shared" si="2"/>
        <v>0.48285</v>
      </c>
      <c r="E11" s="7">
        <f t="shared" si="3"/>
        <v>0.54945</v>
      </c>
      <c r="F11" s="7">
        <f t="shared" si="4"/>
        <v>0.61605</v>
      </c>
    </row>
    <row r="12">
      <c r="A12" s="5" t="s">
        <v>16</v>
      </c>
      <c r="B12" s="6">
        <v>0.319</v>
      </c>
      <c r="C12" s="7">
        <f t="shared" si="1"/>
        <v>0.39875</v>
      </c>
      <c r="D12" s="8">
        <f t="shared" si="2"/>
        <v>0.46255</v>
      </c>
      <c r="E12" s="7">
        <f t="shared" si="3"/>
        <v>0.52635</v>
      </c>
      <c r="F12" s="7">
        <f t="shared" si="4"/>
        <v>0.59015</v>
      </c>
    </row>
    <row r="13">
      <c r="A13" s="5" t="s">
        <v>17</v>
      </c>
      <c r="B13" s="6">
        <v>0.307</v>
      </c>
      <c r="C13" s="7">
        <f t="shared" si="1"/>
        <v>0.38375</v>
      </c>
      <c r="D13" s="8">
        <f t="shared" si="2"/>
        <v>0.44515</v>
      </c>
      <c r="E13" s="7">
        <f t="shared" si="3"/>
        <v>0.50655</v>
      </c>
      <c r="F13" s="7">
        <f t="shared" si="4"/>
        <v>0.56795</v>
      </c>
    </row>
    <row r="14">
      <c r="A14" s="5" t="s">
        <v>18</v>
      </c>
      <c r="B14" s="6">
        <v>1.129</v>
      </c>
      <c r="C14" s="7">
        <f t="shared" si="1"/>
        <v>1.41125</v>
      </c>
      <c r="D14" s="8">
        <f t="shared" si="2"/>
        <v>1.63705</v>
      </c>
      <c r="E14" s="7">
        <f t="shared" si="3"/>
        <v>1.86285</v>
      </c>
      <c r="F14" s="7">
        <f t="shared" si="4"/>
        <v>2.08865</v>
      </c>
    </row>
    <row r="15">
      <c r="A15" s="5" t="s">
        <v>19</v>
      </c>
      <c r="B15" s="6">
        <v>0.534</v>
      </c>
      <c r="C15" s="7">
        <f t="shared" si="1"/>
        <v>0.6675</v>
      </c>
      <c r="D15" s="8">
        <f t="shared" si="2"/>
        <v>0.7743</v>
      </c>
      <c r="E15" s="7">
        <f t="shared" si="3"/>
        <v>0.8811</v>
      </c>
      <c r="F15" s="7">
        <f t="shared" si="4"/>
        <v>0.9879</v>
      </c>
    </row>
    <row r="16">
      <c r="A16" s="5" t="s">
        <v>20</v>
      </c>
      <c r="B16" s="6">
        <v>0.838</v>
      </c>
      <c r="C16" s="7">
        <f t="shared" si="1"/>
        <v>1.0475</v>
      </c>
      <c r="D16" s="8">
        <f t="shared" si="2"/>
        <v>1.2151</v>
      </c>
      <c r="E16" s="7">
        <f t="shared" si="3"/>
        <v>1.3827</v>
      </c>
      <c r="F16" s="7">
        <f t="shared" si="4"/>
        <v>1.5503</v>
      </c>
    </row>
    <row r="17">
      <c r="A17" s="5" t="s">
        <v>21</v>
      </c>
      <c r="B17" s="6">
        <v>0.518</v>
      </c>
      <c r="C17" s="7">
        <f t="shared" si="1"/>
        <v>0.6475</v>
      </c>
      <c r="D17" s="8">
        <f t="shared" si="2"/>
        <v>0.7511</v>
      </c>
      <c r="E17" s="7">
        <f t="shared" si="3"/>
        <v>0.8547</v>
      </c>
      <c r="F17" s="7">
        <f t="shared" si="4"/>
        <v>0.9583</v>
      </c>
    </row>
    <row r="18">
      <c r="A18" s="5" t="s">
        <v>22</v>
      </c>
      <c r="B18" s="6">
        <v>0.629</v>
      </c>
      <c r="C18" s="7">
        <f t="shared" si="1"/>
        <v>0.78625</v>
      </c>
      <c r="D18" s="8">
        <f t="shared" si="2"/>
        <v>0.91205</v>
      </c>
      <c r="E18" s="7">
        <f t="shared" si="3"/>
        <v>1.03785</v>
      </c>
      <c r="F18" s="7">
        <f t="shared" si="4"/>
        <v>1.16365</v>
      </c>
    </row>
    <row r="19">
      <c r="A19" s="5" t="s">
        <v>23</v>
      </c>
      <c r="B19" s="6">
        <v>0.865</v>
      </c>
      <c r="C19" s="7">
        <f t="shared" si="1"/>
        <v>1.08125</v>
      </c>
      <c r="D19" s="8">
        <f t="shared" si="2"/>
        <v>1.25425</v>
      </c>
      <c r="E19" s="7">
        <f t="shared" si="3"/>
        <v>1.42725</v>
      </c>
      <c r="F19" s="7">
        <f t="shared" si="4"/>
        <v>1.60025</v>
      </c>
    </row>
    <row r="20">
      <c r="A20" s="5" t="s">
        <v>24</v>
      </c>
      <c r="B20" s="6">
        <v>2.545</v>
      </c>
      <c r="C20" s="7">
        <f t="shared" si="1"/>
        <v>3.18125</v>
      </c>
      <c r="D20" s="8">
        <f t="shared" si="2"/>
        <v>3.69025</v>
      </c>
      <c r="E20" s="7">
        <f t="shared" si="3"/>
        <v>4.19925</v>
      </c>
      <c r="F20" s="7">
        <f t="shared" si="4"/>
        <v>4.70825</v>
      </c>
    </row>
    <row r="21">
      <c r="A21" s="5" t="s">
        <v>25</v>
      </c>
      <c r="B21" s="6">
        <v>0.652</v>
      </c>
      <c r="C21" s="7">
        <f t="shared" si="1"/>
        <v>0.815</v>
      </c>
      <c r="D21" s="8">
        <f t="shared" si="2"/>
        <v>0.9454</v>
      </c>
      <c r="E21" s="7">
        <f t="shared" si="3"/>
        <v>1.0758</v>
      </c>
      <c r="F21" s="7">
        <f t="shared" si="4"/>
        <v>1.2062</v>
      </c>
    </row>
    <row r="22">
      <c r="A22" s="5" t="s">
        <v>26</v>
      </c>
      <c r="B22" s="6">
        <v>0.853</v>
      </c>
      <c r="C22" s="7">
        <f t="shared" si="1"/>
        <v>1.06625</v>
      </c>
      <c r="D22" s="8">
        <f t="shared" si="2"/>
        <v>1.23685</v>
      </c>
      <c r="E22" s="7">
        <f t="shared" si="3"/>
        <v>1.40745</v>
      </c>
      <c r="F22" s="7">
        <f t="shared" si="4"/>
        <v>1.57805</v>
      </c>
    </row>
    <row r="23">
      <c r="A23" s="5" t="s">
        <v>27</v>
      </c>
      <c r="B23" s="6">
        <v>1.111</v>
      </c>
      <c r="C23" s="7">
        <f t="shared" si="1"/>
        <v>1.38875</v>
      </c>
      <c r="D23" s="8">
        <f t="shared" si="2"/>
        <v>1.61095</v>
      </c>
      <c r="E23" s="7">
        <f t="shared" si="3"/>
        <v>1.83315</v>
      </c>
      <c r="F23" s="7">
        <f t="shared" si="4"/>
        <v>2.05535</v>
      </c>
    </row>
    <row r="24">
      <c r="A24" s="5" t="s">
        <v>28</v>
      </c>
      <c r="B24" s="6">
        <v>1.69</v>
      </c>
      <c r="C24" s="7">
        <f t="shared" si="1"/>
        <v>2.1125</v>
      </c>
      <c r="D24" s="8">
        <f t="shared" si="2"/>
        <v>2.4505</v>
      </c>
      <c r="E24" s="7">
        <f t="shared" si="3"/>
        <v>2.7885</v>
      </c>
      <c r="F24" s="7">
        <f t="shared" si="4"/>
        <v>3.1265</v>
      </c>
    </row>
    <row r="25">
      <c r="A25" s="5" t="s">
        <v>29</v>
      </c>
      <c r="B25" s="6">
        <v>0.56</v>
      </c>
      <c r="C25" s="7">
        <f t="shared" si="1"/>
        <v>0.7</v>
      </c>
      <c r="D25" s="8">
        <f t="shared" si="2"/>
        <v>0.812</v>
      </c>
      <c r="E25" s="7">
        <f t="shared" si="3"/>
        <v>0.924</v>
      </c>
      <c r="F25" s="7">
        <f t="shared" si="4"/>
        <v>1.036</v>
      </c>
    </row>
    <row r="26">
      <c r="A26" s="5" t="s">
        <v>30</v>
      </c>
      <c r="B26" s="6">
        <v>0.502</v>
      </c>
      <c r="C26" s="7">
        <f t="shared" si="1"/>
        <v>0.6275</v>
      </c>
      <c r="D26" s="8">
        <f t="shared" si="2"/>
        <v>0.7279</v>
      </c>
      <c r="E26" s="7">
        <f t="shared" si="3"/>
        <v>0.8283</v>
      </c>
      <c r="F26" s="7">
        <f t="shared" si="4"/>
        <v>0.9287</v>
      </c>
    </row>
    <row r="27">
      <c r="A27" s="5" t="s">
        <v>31</v>
      </c>
      <c r="B27" s="6">
        <v>0.485</v>
      </c>
      <c r="C27" s="7">
        <f t="shared" si="1"/>
        <v>0.60625</v>
      </c>
      <c r="D27" s="8">
        <f t="shared" si="2"/>
        <v>0.70325</v>
      </c>
      <c r="E27" s="7">
        <f t="shared" si="3"/>
        <v>0.80025</v>
      </c>
      <c r="F27" s="7">
        <f t="shared" si="4"/>
        <v>0.89725</v>
      </c>
    </row>
    <row r="28">
      <c r="A28" s="5" t="s">
        <v>32</v>
      </c>
      <c r="B28" s="6">
        <v>0.458</v>
      </c>
      <c r="C28" s="7">
        <f t="shared" si="1"/>
        <v>0.5725</v>
      </c>
      <c r="D28" s="8">
        <f t="shared" si="2"/>
        <v>0.6641</v>
      </c>
      <c r="E28" s="7">
        <f t="shared" si="3"/>
        <v>0.7557</v>
      </c>
      <c r="F28" s="7">
        <f t="shared" si="4"/>
        <v>0.8473</v>
      </c>
    </row>
    <row r="29">
      <c r="A29" s="9"/>
      <c r="B29" s="9"/>
      <c r="C29" s="9"/>
      <c r="D29" s="10"/>
      <c r="E29" s="9"/>
      <c r="F29" s="9"/>
    </row>
    <row r="30">
      <c r="A30" s="9"/>
      <c r="B30" s="9"/>
      <c r="C30" s="9"/>
      <c r="D30" s="10"/>
      <c r="E30" s="9"/>
      <c r="F30" s="9"/>
    </row>
    <row r="31">
      <c r="A31" s="9"/>
      <c r="B31" s="9"/>
      <c r="C31" s="9"/>
      <c r="D31" s="10"/>
      <c r="E31" s="9"/>
      <c r="F31" s="9"/>
    </row>
    <row r="32">
      <c r="A32" s="9"/>
      <c r="B32" s="9"/>
      <c r="C32" s="9"/>
      <c r="D32" s="10"/>
      <c r="E32" s="9"/>
      <c r="F32" s="9"/>
    </row>
    <row r="33">
      <c r="A33" s="9"/>
      <c r="B33" s="9"/>
      <c r="C33" s="9"/>
      <c r="D33" s="10"/>
      <c r="E33" s="9"/>
      <c r="F33" s="9"/>
    </row>
    <row r="34">
      <c r="D34" s="11"/>
    </row>
    <row r="35">
      <c r="D35" s="11"/>
    </row>
    <row r="36">
      <c r="D36" s="11"/>
    </row>
    <row r="37">
      <c r="D37" s="11"/>
    </row>
    <row r="38">
      <c r="D38" s="11"/>
    </row>
    <row r="39">
      <c r="D39" s="11"/>
    </row>
    <row r="40">
      <c r="D40" s="11"/>
    </row>
    <row r="41">
      <c r="D41" s="11"/>
    </row>
    <row r="42">
      <c r="D42" s="11"/>
    </row>
    <row r="43">
      <c r="D43" s="11"/>
    </row>
    <row r="44">
      <c r="D44" s="11"/>
    </row>
    <row r="45">
      <c r="D45" s="11"/>
    </row>
    <row r="46">
      <c r="D46" s="11"/>
    </row>
    <row r="47">
      <c r="D47" s="11"/>
    </row>
    <row r="48">
      <c r="D48" s="11"/>
    </row>
    <row r="49">
      <c r="D49" s="11"/>
    </row>
    <row r="50">
      <c r="D50" s="11"/>
    </row>
    <row r="51">
      <c r="D51" s="11"/>
    </row>
    <row r="52">
      <c r="D52" s="11"/>
    </row>
    <row r="53">
      <c r="D53" s="11"/>
    </row>
    <row r="54">
      <c r="D54" s="11"/>
    </row>
    <row r="55">
      <c r="D55" s="11"/>
    </row>
    <row r="56">
      <c r="D56" s="11"/>
    </row>
    <row r="57">
      <c r="D57" s="11"/>
    </row>
    <row r="58">
      <c r="D58" s="11"/>
    </row>
    <row r="59">
      <c r="D59" s="11"/>
    </row>
    <row r="60">
      <c r="D60" s="11"/>
    </row>
    <row r="61">
      <c r="D61" s="11"/>
    </row>
    <row r="62">
      <c r="D62" s="11"/>
    </row>
    <row r="63">
      <c r="D63" s="11"/>
    </row>
    <row r="64">
      <c r="D64" s="11"/>
    </row>
    <row r="65">
      <c r="D65" s="11"/>
    </row>
    <row r="66">
      <c r="D66" s="11"/>
    </row>
    <row r="67">
      <c r="D67" s="11"/>
    </row>
    <row r="68">
      <c r="D68" s="11"/>
    </row>
    <row r="69">
      <c r="D69" s="11"/>
    </row>
    <row r="70">
      <c r="D70" s="11"/>
    </row>
    <row r="71">
      <c r="D71" s="11"/>
    </row>
    <row r="72">
      <c r="D72" s="11"/>
    </row>
    <row r="73">
      <c r="D73" s="11"/>
    </row>
    <row r="74">
      <c r="D74" s="11"/>
    </row>
    <row r="75">
      <c r="D75" s="11"/>
    </row>
    <row r="76">
      <c r="D76" s="11"/>
    </row>
    <row r="77">
      <c r="D77" s="11"/>
    </row>
    <row r="78">
      <c r="D78" s="11"/>
    </row>
    <row r="79">
      <c r="D79" s="11"/>
    </row>
    <row r="80">
      <c r="D80" s="11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  <row r="969">
      <c r="D969" s="11"/>
    </row>
    <row r="970">
      <c r="D970" s="11"/>
    </row>
    <row r="971">
      <c r="D971" s="11"/>
    </row>
    <row r="972">
      <c r="D972" s="11"/>
    </row>
    <row r="973">
      <c r="D973" s="11"/>
    </row>
    <row r="974">
      <c r="D974" s="11"/>
    </row>
    <row r="975">
      <c r="D975" s="11"/>
    </row>
    <row r="976">
      <c r="D976" s="11"/>
    </row>
    <row r="977">
      <c r="D977" s="11"/>
    </row>
    <row r="978">
      <c r="D978" s="11"/>
    </row>
    <row r="979">
      <c r="D979" s="11"/>
    </row>
    <row r="980">
      <c r="D980" s="11"/>
    </row>
    <row r="981">
      <c r="D981" s="11"/>
    </row>
    <row r="982">
      <c r="D982" s="11"/>
    </row>
    <row r="983">
      <c r="D983" s="11"/>
    </row>
    <row r="984">
      <c r="D984" s="11"/>
    </row>
    <row r="985">
      <c r="D985" s="11"/>
    </row>
    <row r="986">
      <c r="D986" s="11"/>
    </row>
    <row r="987">
      <c r="D987" s="11"/>
    </row>
    <row r="988">
      <c r="D988" s="11"/>
    </row>
    <row r="989">
      <c r="D989" s="11"/>
    </row>
    <row r="990">
      <c r="D990" s="11"/>
    </row>
    <row r="991">
      <c r="D991" s="11"/>
    </row>
    <row r="992">
      <c r="D992" s="11"/>
    </row>
    <row r="993">
      <c r="D993" s="11"/>
    </row>
    <row r="994">
      <c r="D994" s="11"/>
    </row>
    <row r="995">
      <c r="D995" s="11"/>
    </row>
    <row r="996">
      <c r="D996" s="11"/>
    </row>
    <row r="997">
      <c r="D997" s="11"/>
    </row>
    <row r="998">
      <c r="D998" s="11"/>
    </row>
  </sheetData>
  <drawing r:id="rId1"/>
</worksheet>
</file>