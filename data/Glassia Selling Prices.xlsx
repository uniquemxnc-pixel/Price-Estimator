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lassia" sheetId="1" r:id="rId5"/>
    <sheet state="visible" name="Anfora Unique MX Line  " sheetId="2" r:id="rId6"/>
  </sheets>
  <definedNames/>
  <calcPr/>
</workbook>
</file>

<file path=xl/sharedStrings.xml><?xml version="1.0" encoding="utf-8"?>
<sst xmlns="http://schemas.openxmlformats.org/spreadsheetml/2006/main" count="55" uniqueCount="48">
  <si>
    <t>Product</t>
  </si>
  <si>
    <t>Base Price</t>
  </si>
  <si>
    <t>Sub Distributors</t>
  </si>
  <si>
    <t>In-Person Restaurants</t>
  </si>
  <si>
    <t>Marketplace Restaurants</t>
  </si>
  <si>
    <t>Marketplace Residential</t>
  </si>
  <si>
    <t>C TOSCANA 370ML</t>
  </si>
  <si>
    <t>C FLAUTA CALIFORNIA 190ML EK24</t>
  </si>
  <si>
    <t>C CALIFORNIA 470ML EK24</t>
  </si>
  <si>
    <t>C CALIFORNIA 590ML EK24</t>
  </si>
  <si>
    <t>C CERVECERA CALIFORNIA 350ML EK241</t>
  </si>
  <si>
    <t>SUPER TARRO CERVECERO 1L/TARRO</t>
  </si>
  <si>
    <t>TARRO BERLÍN 500ML EK12</t>
  </si>
  <si>
    <t>T CERVECERO MUNICH 420ML EK12</t>
  </si>
  <si>
    <t>V PILSNER 460ML EK24</t>
  </si>
  <si>
    <t>VASO TEQUILERO 45ML</t>
  </si>
  <si>
    <t>VASO TEQUILERO DOBLE 60ML</t>
  </si>
  <si>
    <t>TEQUILERO SIENA 45ML</t>
  </si>
  <si>
    <t>C GIN 650ML EK12</t>
  </si>
  <si>
    <t>V NAPA STEMPLESS 17 OZ EK12</t>
  </si>
  <si>
    <t>C MARTINI 10 Oz EK24</t>
  </si>
  <si>
    <t>VASO CUBERO SOAVE 290ML</t>
  </si>
  <si>
    <t>VASO REFRESCO CASALE 490ML</t>
  </si>
  <si>
    <t>V CASALE 590ML EK12 LB</t>
  </si>
  <si>
    <t>JARRA CASALE 1.7 L/JARRA DE VIDRIO-PITC</t>
  </si>
  <si>
    <t>VASO HB SIENA 370ML</t>
  </si>
  <si>
    <t>VASO RERESCO SIENA 485ML</t>
  </si>
  <si>
    <t>COPA MALTEADA 400ML</t>
  </si>
  <si>
    <t>COPA IMPERIA 525ML</t>
  </si>
  <si>
    <t>C POSTRE 10 Oz EK24</t>
  </si>
  <si>
    <t>COPA AGUA FERRARA 350ML</t>
  </si>
  <si>
    <t>VASO OF NOVARA 210ML</t>
  </si>
  <si>
    <t xml:space="preserve"> </t>
  </si>
  <si>
    <t>Base</t>
  </si>
  <si>
    <t xml:space="preserve">mas 1 Dolar </t>
  </si>
  <si>
    <t>1 Dolar mas 25%</t>
  </si>
  <si>
    <t xml:space="preserve">1 Dolar mas 45% </t>
  </si>
  <si>
    <t>1 Dolar mas 65%</t>
  </si>
  <si>
    <t>1 Dolar mas 85%</t>
  </si>
  <si>
    <t>Import Cost</t>
  </si>
  <si>
    <t>PLATO TRINCHE CHENA 27 CM SELLO ESPECIAL</t>
  </si>
  <si>
    <t>PLATO TRINCHE CHENA 23 CM SELLO ESPECIAL</t>
  </si>
  <si>
    <t>\</t>
  </si>
  <si>
    <t>PLATON OVALADO 38CM OTB SELLO ESPECIAL</t>
  </si>
  <si>
    <t>PLATON OVALADO 34CM OTB SELLO ESPECIAL</t>
  </si>
  <si>
    <t>TAZÓN SOPA LAILA 350ML SELLO ESPECIAL</t>
  </si>
  <si>
    <t>MUG ACAPULCO SELLO ESPECIAL 300ML</t>
  </si>
  <si>
    <t>TAZON PANERA 21 CM SELLO ESPECIAL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</si>
</sst>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i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8E7CC3"/>
        <bgColor rgb="FF8E7CC3"/>
      </patternFill>
    </fill>
    <fill>
      <patternFill patternType="solid">
        <fgColor rgb="FFFCE5CD"/>
        <bgColor rgb="FFFCE5CD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readingOrder="0" shrinkToFit="0" vertical="bottom" wrapText="1"/>
    </xf>
    <xf borderId="1" fillId="2" fontId="1" numFmtId="0" xfId="0" applyAlignment="1" applyBorder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1" fillId="4" fontId="2" numFmtId="0" xfId="0" applyAlignment="1" applyBorder="1" applyFill="1" applyFont="1">
      <alignment readingOrder="0" shrinkToFit="0" wrapText="1"/>
    </xf>
    <xf borderId="1" fillId="5" fontId="2" numFmtId="164" xfId="0" applyAlignment="1" applyBorder="1" applyFill="1" applyFont="1" applyNumberFormat="1">
      <alignment readingOrder="0" shrinkToFit="0" wrapText="1"/>
    </xf>
    <xf borderId="1" fillId="5" fontId="2" numFmtId="164" xfId="0" applyAlignment="1" applyBorder="1" applyFont="1" applyNumberFormat="1">
      <alignment shrinkToFit="0" wrapText="1"/>
    </xf>
    <xf borderId="1" fillId="3" fontId="2" numFmtId="164" xfId="0" applyAlignment="1" applyBorder="1" applyFont="1" applyNumberFormat="1">
      <alignment shrinkToFit="0" wrapText="1"/>
    </xf>
    <xf borderId="0" fillId="0" fontId="2" numFmtId="0" xfId="0" applyAlignment="1" applyFont="1">
      <alignment shrinkToFit="0" wrapText="1"/>
    </xf>
    <xf borderId="0" fillId="3" fontId="2" numFmtId="0" xfId="0" applyAlignment="1" applyFont="1">
      <alignment shrinkToFit="0" wrapText="1"/>
    </xf>
    <xf borderId="0" fillId="3" fontId="2" numFmtId="0" xfId="0" applyFont="1"/>
    <xf borderId="1" fillId="0" fontId="3" numFmtId="0" xfId="0" applyAlignment="1" applyBorder="1" applyFont="1">
      <alignment vertical="bottom"/>
    </xf>
    <xf borderId="1" fillId="6" fontId="1" numFmtId="0" xfId="0" applyAlignment="1" applyBorder="1" applyFill="1" applyFont="1">
      <alignment shrinkToFit="0" vertical="bottom" wrapText="1"/>
    </xf>
    <xf borderId="1" fillId="7" fontId="1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vertical="bottom"/>
    </xf>
    <xf borderId="1" fillId="8" fontId="4" numFmtId="0" xfId="0" applyAlignment="1" applyBorder="1" applyFill="1" applyFont="1">
      <alignment shrinkToFit="0" vertical="bottom" wrapText="1"/>
    </xf>
    <xf borderId="1" fillId="9" fontId="3" numFmtId="164" xfId="0" applyAlignment="1" applyBorder="1" applyFill="1" applyFont="1" applyNumberFormat="1">
      <alignment horizontal="right" shrinkToFit="0" vertical="bottom" wrapText="1"/>
    </xf>
    <xf borderId="0" fillId="9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6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>
      <c r="A2" s="5" t="s">
        <v>6</v>
      </c>
      <c r="B2" s="6">
        <v>0.725</v>
      </c>
      <c r="C2" s="7">
        <f t="shared" ref="C2:C28" si="1">B2*1.3</f>
        <v>0.9425</v>
      </c>
      <c r="D2" s="8">
        <f t="shared" ref="D2:D28" si="2">B2*1.5</f>
        <v>1.0875</v>
      </c>
      <c r="E2" s="7">
        <f t="shared" ref="E2:E28" si="3">B2*1.65</f>
        <v>1.19625</v>
      </c>
      <c r="F2" s="7">
        <f t="shared" ref="F2:F28" si="4">B2*1.85</f>
        <v>1.34125</v>
      </c>
    </row>
    <row r="3">
      <c r="A3" s="5" t="s">
        <v>7</v>
      </c>
      <c r="B3" s="6">
        <v>0.648</v>
      </c>
      <c r="C3" s="7">
        <f t="shared" si="1"/>
        <v>0.8424</v>
      </c>
      <c r="D3" s="8">
        <f t="shared" si="2"/>
        <v>0.972</v>
      </c>
      <c r="E3" s="7">
        <f t="shared" si="3"/>
        <v>1.0692</v>
      </c>
      <c r="F3" s="7">
        <f t="shared" si="4"/>
        <v>1.1988</v>
      </c>
    </row>
    <row r="4">
      <c r="A4" s="5" t="s">
        <v>8</v>
      </c>
      <c r="B4" s="6">
        <v>0.919</v>
      </c>
      <c r="C4" s="7">
        <f t="shared" si="1"/>
        <v>1.1947</v>
      </c>
      <c r="D4" s="8">
        <f t="shared" si="2"/>
        <v>1.3785</v>
      </c>
      <c r="E4" s="7">
        <f t="shared" si="3"/>
        <v>1.51635</v>
      </c>
      <c r="F4" s="7">
        <f t="shared" si="4"/>
        <v>1.70015</v>
      </c>
    </row>
    <row r="5">
      <c r="A5" s="5" t="s">
        <v>9</v>
      </c>
      <c r="B5" s="6">
        <v>1.118</v>
      </c>
      <c r="C5" s="7">
        <f t="shared" si="1"/>
        <v>1.4534</v>
      </c>
      <c r="D5" s="8">
        <f t="shared" si="2"/>
        <v>1.677</v>
      </c>
      <c r="E5" s="7">
        <f t="shared" si="3"/>
        <v>1.8447</v>
      </c>
      <c r="F5" s="7">
        <f t="shared" si="4"/>
        <v>2.0683</v>
      </c>
    </row>
    <row r="6">
      <c r="A6" s="5" t="s">
        <v>10</v>
      </c>
      <c r="B6" s="6">
        <v>0.704</v>
      </c>
      <c r="C6" s="7">
        <f t="shared" si="1"/>
        <v>0.9152</v>
      </c>
      <c r="D6" s="8">
        <f t="shared" si="2"/>
        <v>1.056</v>
      </c>
      <c r="E6" s="7">
        <f t="shared" si="3"/>
        <v>1.1616</v>
      </c>
      <c r="F6" s="7">
        <f t="shared" si="4"/>
        <v>1.3024</v>
      </c>
    </row>
    <row r="7">
      <c r="A7" s="5" t="s">
        <v>11</v>
      </c>
      <c r="B7" s="6">
        <v>2.886</v>
      </c>
      <c r="C7" s="7">
        <f t="shared" si="1"/>
        <v>3.7518</v>
      </c>
      <c r="D7" s="8">
        <f t="shared" si="2"/>
        <v>4.329</v>
      </c>
      <c r="E7" s="7">
        <f t="shared" si="3"/>
        <v>4.7619</v>
      </c>
      <c r="F7" s="7">
        <f t="shared" si="4"/>
        <v>5.3391</v>
      </c>
    </row>
    <row r="8">
      <c r="A8" s="5" t="s">
        <v>12</v>
      </c>
      <c r="B8" s="6">
        <v>1.345</v>
      </c>
      <c r="C8" s="7">
        <f t="shared" si="1"/>
        <v>1.7485</v>
      </c>
      <c r="D8" s="8">
        <f t="shared" si="2"/>
        <v>2.0175</v>
      </c>
      <c r="E8" s="7">
        <f t="shared" si="3"/>
        <v>2.21925</v>
      </c>
      <c r="F8" s="7">
        <f t="shared" si="4"/>
        <v>2.48825</v>
      </c>
    </row>
    <row r="9">
      <c r="A9" s="5" t="s">
        <v>13</v>
      </c>
      <c r="B9" s="6">
        <v>1.478</v>
      </c>
      <c r="C9" s="7">
        <f t="shared" si="1"/>
        <v>1.9214</v>
      </c>
      <c r="D9" s="8">
        <f t="shared" si="2"/>
        <v>2.217</v>
      </c>
      <c r="E9" s="7">
        <f t="shared" si="3"/>
        <v>2.4387</v>
      </c>
      <c r="F9" s="7">
        <f t="shared" si="4"/>
        <v>2.7343</v>
      </c>
    </row>
    <row r="10">
      <c r="A10" s="5" t="s">
        <v>14</v>
      </c>
      <c r="B10" s="6">
        <v>0.817</v>
      </c>
      <c r="C10" s="7">
        <f t="shared" si="1"/>
        <v>1.0621</v>
      </c>
      <c r="D10" s="8">
        <f t="shared" si="2"/>
        <v>1.2255</v>
      </c>
      <c r="E10" s="7">
        <f t="shared" si="3"/>
        <v>1.34805</v>
      </c>
      <c r="F10" s="7">
        <f t="shared" si="4"/>
        <v>1.51145</v>
      </c>
    </row>
    <row r="11">
      <c r="A11" s="5" t="s">
        <v>15</v>
      </c>
      <c r="B11" s="6">
        <v>0.333</v>
      </c>
      <c r="C11" s="7">
        <f t="shared" si="1"/>
        <v>0.4329</v>
      </c>
      <c r="D11" s="8">
        <f t="shared" si="2"/>
        <v>0.4995</v>
      </c>
      <c r="E11" s="7">
        <f t="shared" si="3"/>
        <v>0.54945</v>
      </c>
      <c r="F11" s="7">
        <f t="shared" si="4"/>
        <v>0.61605</v>
      </c>
    </row>
    <row r="12">
      <c r="A12" s="5" t="s">
        <v>16</v>
      </c>
      <c r="B12" s="6">
        <v>0.319</v>
      </c>
      <c r="C12" s="7">
        <f t="shared" si="1"/>
        <v>0.4147</v>
      </c>
      <c r="D12" s="8">
        <f t="shared" si="2"/>
        <v>0.4785</v>
      </c>
      <c r="E12" s="7">
        <f t="shared" si="3"/>
        <v>0.52635</v>
      </c>
      <c r="F12" s="7">
        <f t="shared" si="4"/>
        <v>0.59015</v>
      </c>
    </row>
    <row r="13">
      <c r="A13" s="5" t="s">
        <v>17</v>
      </c>
      <c r="B13" s="6">
        <v>0.307</v>
      </c>
      <c r="C13" s="7">
        <f t="shared" si="1"/>
        <v>0.3991</v>
      </c>
      <c r="D13" s="8">
        <f t="shared" si="2"/>
        <v>0.4605</v>
      </c>
      <c r="E13" s="7">
        <f t="shared" si="3"/>
        <v>0.50655</v>
      </c>
      <c r="F13" s="7">
        <f t="shared" si="4"/>
        <v>0.56795</v>
      </c>
    </row>
    <row r="14">
      <c r="A14" s="5" t="s">
        <v>18</v>
      </c>
      <c r="B14" s="6">
        <v>1.129</v>
      </c>
      <c r="C14" s="7">
        <f t="shared" si="1"/>
        <v>1.4677</v>
      </c>
      <c r="D14" s="8">
        <f t="shared" si="2"/>
        <v>1.6935</v>
      </c>
      <c r="E14" s="7">
        <f t="shared" si="3"/>
        <v>1.86285</v>
      </c>
      <c r="F14" s="7">
        <f t="shared" si="4"/>
        <v>2.08865</v>
      </c>
    </row>
    <row r="15">
      <c r="A15" s="5" t="s">
        <v>19</v>
      </c>
      <c r="B15" s="6">
        <v>0.534</v>
      </c>
      <c r="C15" s="7">
        <f t="shared" si="1"/>
        <v>0.6942</v>
      </c>
      <c r="D15" s="8">
        <f t="shared" si="2"/>
        <v>0.801</v>
      </c>
      <c r="E15" s="7">
        <f t="shared" si="3"/>
        <v>0.8811</v>
      </c>
      <c r="F15" s="7">
        <f t="shared" si="4"/>
        <v>0.9879</v>
      </c>
    </row>
    <row r="16">
      <c r="A16" s="5" t="s">
        <v>20</v>
      </c>
      <c r="B16" s="6">
        <v>0.838</v>
      </c>
      <c r="C16" s="7">
        <f t="shared" si="1"/>
        <v>1.0894</v>
      </c>
      <c r="D16" s="8">
        <f t="shared" si="2"/>
        <v>1.257</v>
      </c>
      <c r="E16" s="7">
        <f t="shared" si="3"/>
        <v>1.3827</v>
      </c>
      <c r="F16" s="7">
        <f t="shared" si="4"/>
        <v>1.5503</v>
      </c>
    </row>
    <row r="17">
      <c r="A17" s="5" t="s">
        <v>21</v>
      </c>
      <c r="B17" s="6">
        <v>0.518</v>
      </c>
      <c r="C17" s="7">
        <f t="shared" si="1"/>
        <v>0.6734</v>
      </c>
      <c r="D17" s="8">
        <f t="shared" si="2"/>
        <v>0.777</v>
      </c>
      <c r="E17" s="7">
        <f t="shared" si="3"/>
        <v>0.8547</v>
      </c>
      <c r="F17" s="7">
        <f t="shared" si="4"/>
        <v>0.9583</v>
      </c>
    </row>
    <row r="18">
      <c r="A18" s="5" t="s">
        <v>22</v>
      </c>
      <c r="B18" s="6">
        <v>0.629</v>
      </c>
      <c r="C18" s="7">
        <f t="shared" si="1"/>
        <v>0.8177</v>
      </c>
      <c r="D18" s="8">
        <f t="shared" si="2"/>
        <v>0.9435</v>
      </c>
      <c r="E18" s="7">
        <f t="shared" si="3"/>
        <v>1.03785</v>
      </c>
      <c r="F18" s="7">
        <f t="shared" si="4"/>
        <v>1.16365</v>
      </c>
    </row>
    <row r="19">
      <c r="A19" s="5" t="s">
        <v>23</v>
      </c>
      <c r="B19" s="6">
        <v>0.865</v>
      </c>
      <c r="C19" s="7">
        <f t="shared" si="1"/>
        <v>1.1245</v>
      </c>
      <c r="D19" s="8">
        <f t="shared" si="2"/>
        <v>1.2975</v>
      </c>
      <c r="E19" s="7">
        <f t="shared" si="3"/>
        <v>1.42725</v>
      </c>
      <c r="F19" s="7">
        <f t="shared" si="4"/>
        <v>1.60025</v>
      </c>
    </row>
    <row r="20">
      <c r="A20" s="5" t="s">
        <v>24</v>
      </c>
      <c r="B20" s="6">
        <v>2.545</v>
      </c>
      <c r="C20" s="7">
        <f t="shared" si="1"/>
        <v>3.3085</v>
      </c>
      <c r="D20" s="8">
        <f t="shared" si="2"/>
        <v>3.8175</v>
      </c>
      <c r="E20" s="7">
        <f t="shared" si="3"/>
        <v>4.19925</v>
      </c>
      <c r="F20" s="7">
        <f t="shared" si="4"/>
        <v>4.70825</v>
      </c>
    </row>
    <row r="21">
      <c r="A21" s="5" t="s">
        <v>25</v>
      </c>
      <c r="B21" s="6">
        <v>0.652</v>
      </c>
      <c r="C21" s="7">
        <f t="shared" si="1"/>
        <v>0.8476</v>
      </c>
      <c r="D21" s="8">
        <f t="shared" si="2"/>
        <v>0.978</v>
      </c>
      <c r="E21" s="7">
        <f t="shared" si="3"/>
        <v>1.0758</v>
      </c>
      <c r="F21" s="7">
        <f t="shared" si="4"/>
        <v>1.2062</v>
      </c>
    </row>
    <row r="22">
      <c r="A22" s="5" t="s">
        <v>26</v>
      </c>
      <c r="B22" s="6">
        <v>0.853</v>
      </c>
      <c r="C22" s="7">
        <f t="shared" si="1"/>
        <v>1.1089</v>
      </c>
      <c r="D22" s="8">
        <f t="shared" si="2"/>
        <v>1.2795</v>
      </c>
      <c r="E22" s="7">
        <f t="shared" si="3"/>
        <v>1.40745</v>
      </c>
      <c r="F22" s="7">
        <f t="shared" si="4"/>
        <v>1.57805</v>
      </c>
    </row>
    <row r="23">
      <c r="A23" s="5" t="s">
        <v>27</v>
      </c>
      <c r="B23" s="6">
        <v>1.111</v>
      </c>
      <c r="C23" s="7">
        <f t="shared" si="1"/>
        <v>1.4443</v>
      </c>
      <c r="D23" s="8">
        <f t="shared" si="2"/>
        <v>1.6665</v>
      </c>
      <c r="E23" s="7">
        <f t="shared" si="3"/>
        <v>1.83315</v>
      </c>
      <c r="F23" s="7">
        <f t="shared" si="4"/>
        <v>2.05535</v>
      </c>
    </row>
    <row r="24">
      <c r="A24" s="5" t="s">
        <v>28</v>
      </c>
      <c r="B24" s="6">
        <v>1.69</v>
      </c>
      <c r="C24" s="7">
        <f t="shared" si="1"/>
        <v>2.197</v>
      </c>
      <c r="D24" s="8">
        <f t="shared" si="2"/>
        <v>2.535</v>
      </c>
      <c r="E24" s="7">
        <f t="shared" si="3"/>
        <v>2.7885</v>
      </c>
      <c r="F24" s="7">
        <f t="shared" si="4"/>
        <v>3.1265</v>
      </c>
    </row>
    <row r="25">
      <c r="A25" s="5" t="s">
        <v>29</v>
      </c>
      <c r="B25" s="6">
        <v>0.56</v>
      </c>
      <c r="C25" s="7">
        <f t="shared" si="1"/>
        <v>0.728</v>
      </c>
      <c r="D25" s="8">
        <f t="shared" si="2"/>
        <v>0.84</v>
      </c>
      <c r="E25" s="7">
        <f t="shared" si="3"/>
        <v>0.924</v>
      </c>
      <c r="F25" s="7">
        <f t="shared" si="4"/>
        <v>1.036</v>
      </c>
    </row>
    <row r="26">
      <c r="A26" s="5" t="s">
        <v>30</v>
      </c>
      <c r="B26" s="6">
        <v>0.502</v>
      </c>
      <c r="C26" s="7">
        <f t="shared" si="1"/>
        <v>0.6526</v>
      </c>
      <c r="D26" s="8">
        <f t="shared" si="2"/>
        <v>0.753</v>
      </c>
      <c r="E26" s="7">
        <f t="shared" si="3"/>
        <v>0.8283</v>
      </c>
      <c r="F26" s="7">
        <f t="shared" si="4"/>
        <v>0.9287</v>
      </c>
    </row>
    <row r="27">
      <c r="A27" s="5" t="s">
        <v>31</v>
      </c>
      <c r="B27" s="6">
        <v>0.485</v>
      </c>
      <c r="C27" s="7">
        <f t="shared" si="1"/>
        <v>0.6305</v>
      </c>
      <c r="D27" s="8">
        <f t="shared" si="2"/>
        <v>0.7275</v>
      </c>
      <c r="E27" s="7">
        <f t="shared" si="3"/>
        <v>0.80025</v>
      </c>
      <c r="F27" s="7">
        <f t="shared" si="4"/>
        <v>0.89725</v>
      </c>
    </row>
    <row r="28">
      <c r="A28" s="5" t="s">
        <v>32</v>
      </c>
      <c r="B28" s="6">
        <v>0.458</v>
      </c>
      <c r="C28" s="7">
        <f t="shared" si="1"/>
        <v>0.5954</v>
      </c>
      <c r="D28" s="8">
        <f t="shared" si="2"/>
        <v>0.687</v>
      </c>
      <c r="E28" s="7">
        <f t="shared" si="3"/>
        <v>0.7557</v>
      </c>
      <c r="F28" s="7">
        <f t="shared" si="4"/>
        <v>0.8473</v>
      </c>
    </row>
    <row r="29">
      <c r="A29" s="9"/>
      <c r="B29" s="9"/>
      <c r="C29" s="9"/>
      <c r="D29" s="10"/>
      <c r="E29" s="9"/>
      <c r="F29" s="9"/>
    </row>
    <row r="30">
      <c r="A30" s="9"/>
      <c r="B30" s="9"/>
      <c r="C30" s="9"/>
      <c r="D30" s="10"/>
      <c r="E30" s="9"/>
      <c r="F30" s="9"/>
    </row>
    <row r="31">
      <c r="A31" s="9"/>
      <c r="B31" s="9"/>
      <c r="C31" s="9"/>
      <c r="D31" s="10"/>
      <c r="E31" s="9"/>
      <c r="F31" s="9"/>
    </row>
    <row r="32">
      <c r="A32" s="9"/>
      <c r="B32" s="9"/>
      <c r="C32" s="9"/>
      <c r="D32" s="10"/>
      <c r="E32" s="9"/>
      <c r="F32" s="9"/>
    </row>
    <row r="33">
      <c r="A33" s="9"/>
      <c r="B33" s="9"/>
      <c r="C33" s="9"/>
      <c r="D33" s="10"/>
      <c r="E33" s="9"/>
      <c r="F33" s="9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/>
      <c r="B1" s="13" t="s">
        <v>33</v>
      </c>
      <c r="C1" s="13" t="s">
        <v>34</v>
      </c>
      <c r="D1" s="13" t="s">
        <v>35</v>
      </c>
      <c r="E1" s="14" t="s">
        <v>36</v>
      </c>
      <c r="F1" s="13" t="s">
        <v>37</v>
      </c>
      <c r="G1" s="13" t="s">
        <v>38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3" t="s">
        <v>0</v>
      </c>
      <c r="B2" s="13" t="s">
        <v>1</v>
      </c>
      <c r="C2" s="13" t="s">
        <v>39</v>
      </c>
      <c r="D2" s="13" t="s">
        <v>2</v>
      </c>
      <c r="E2" s="14" t="s">
        <v>3</v>
      </c>
      <c r="F2" s="13" t="s">
        <v>4</v>
      </c>
      <c r="G2" s="13" t="s">
        <v>5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40</v>
      </c>
      <c r="B3" s="17">
        <v>9.17</v>
      </c>
      <c r="C3" s="17">
        <f t="shared" ref="C3:C9" si="1">B3+1</f>
        <v>10.17</v>
      </c>
      <c r="D3" s="17">
        <f t="shared" ref="D3:D9" si="2">C3*1.25</f>
        <v>12.7125</v>
      </c>
      <c r="E3" s="17">
        <f t="shared" ref="E3:E9" si="3">C3*1.45</f>
        <v>14.7465</v>
      </c>
      <c r="F3" s="17">
        <f t="shared" ref="F3:F9" si="4">C3*1.65</f>
        <v>16.7805</v>
      </c>
      <c r="G3" s="17">
        <f t="shared" ref="G3:G9" si="5">C3*1.85</f>
        <v>18.8145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41</v>
      </c>
      <c r="B4" s="17">
        <v>6.45</v>
      </c>
      <c r="C4" s="17">
        <f t="shared" si="1"/>
        <v>7.45</v>
      </c>
      <c r="D4" s="17">
        <f t="shared" si="2"/>
        <v>9.3125</v>
      </c>
      <c r="E4" s="17">
        <f t="shared" si="3"/>
        <v>10.8025</v>
      </c>
      <c r="F4" s="17">
        <f t="shared" si="4"/>
        <v>12.2925</v>
      </c>
      <c r="G4" s="17">
        <f t="shared" si="5"/>
        <v>13.7825</v>
      </c>
      <c r="H4" s="15"/>
      <c r="I4" s="15"/>
      <c r="J4" s="15"/>
      <c r="K4" s="15" t="s">
        <v>42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43</v>
      </c>
      <c r="B5" s="17">
        <v>17.03</v>
      </c>
      <c r="C5" s="17">
        <f t="shared" si="1"/>
        <v>18.03</v>
      </c>
      <c r="D5" s="17">
        <f t="shared" si="2"/>
        <v>22.5375</v>
      </c>
      <c r="E5" s="17">
        <f t="shared" si="3"/>
        <v>26.1435</v>
      </c>
      <c r="F5" s="17">
        <f t="shared" si="4"/>
        <v>29.7495</v>
      </c>
      <c r="G5" s="17">
        <f t="shared" si="5"/>
        <v>33.3555</v>
      </c>
      <c r="H5" s="15"/>
      <c r="I5" s="15"/>
      <c r="J5" s="15"/>
      <c r="K5" s="15" t="s">
        <v>42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44</v>
      </c>
      <c r="B6" s="17">
        <v>13.0</v>
      </c>
      <c r="C6" s="17">
        <f t="shared" si="1"/>
        <v>14</v>
      </c>
      <c r="D6" s="17">
        <f t="shared" si="2"/>
        <v>17.5</v>
      </c>
      <c r="E6" s="17">
        <f t="shared" si="3"/>
        <v>20.3</v>
      </c>
      <c r="F6" s="17">
        <f t="shared" si="4"/>
        <v>23.1</v>
      </c>
      <c r="G6" s="17">
        <f t="shared" si="5"/>
        <v>25.9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45</v>
      </c>
      <c r="B7" s="17">
        <v>3.47</v>
      </c>
      <c r="C7" s="17">
        <f t="shared" si="1"/>
        <v>4.47</v>
      </c>
      <c r="D7" s="17">
        <f t="shared" si="2"/>
        <v>5.5875</v>
      </c>
      <c r="E7" s="17">
        <f t="shared" si="3"/>
        <v>6.4815</v>
      </c>
      <c r="F7" s="17">
        <f t="shared" si="4"/>
        <v>7.3755</v>
      </c>
      <c r="G7" s="17">
        <f t="shared" si="5"/>
        <v>8.2695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46</v>
      </c>
      <c r="B8" s="17">
        <v>4.15</v>
      </c>
      <c r="C8" s="17">
        <f t="shared" si="1"/>
        <v>5.15</v>
      </c>
      <c r="D8" s="17">
        <f t="shared" si="2"/>
        <v>6.4375</v>
      </c>
      <c r="E8" s="17">
        <f t="shared" si="3"/>
        <v>7.4675</v>
      </c>
      <c r="F8" s="17">
        <f t="shared" si="4"/>
        <v>8.4975</v>
      </c>
      <c r="G8" s="17">
        <f t="shared" si="5"/>
        <v>9.5275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47</v>
      </c>
      <c r="B9" s="17">
        <v>9.22</v>
      </c>
      <c r="C9" s="17">
        <f t="shared" si="1"/>
        <v>10.22</v>
      </c>
      <c r="D9" s="17">
        <f t="shared" si="2"/>
        <v>12.775</v>
      </c>
      <c r="E9" s="17">
        <f t="shared" si="3"/>
        <v>14.819</v>
      </c>
      <c r="F9" s="17">
        <f t="shared" si="4"/>
        <v>16.863</v>
      </c>
      <c r="G9" s="17">
        <f t="shared" si="5"/>
        <v>18.907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8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8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8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8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8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8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8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8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8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8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8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8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8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8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8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8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8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8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8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8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8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8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8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8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8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8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8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8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8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8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8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8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8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8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8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8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8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8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8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8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8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8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8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8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8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8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8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8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8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8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8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8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8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8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8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8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8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8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8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8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8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8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8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8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8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8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8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8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8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8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8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8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8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8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8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8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8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8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8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8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8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8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8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8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8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8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8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8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8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8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8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8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8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8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8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8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8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8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8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8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8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8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8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8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8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8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8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8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8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8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8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8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8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8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8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8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8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8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8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8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8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8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8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8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8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8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8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8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8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8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8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8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8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8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8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8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8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8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8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8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8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8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8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8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8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8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8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8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8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8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8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8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8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8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8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8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8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8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8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8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8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8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8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8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8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8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8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8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8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8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8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8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8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8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8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8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8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8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8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8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8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8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8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8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8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8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8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8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8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8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8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8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8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8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8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8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8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8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8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8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8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8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8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8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8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8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8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8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8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8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8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8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8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8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8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8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8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8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8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8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8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8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8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8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8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8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8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8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8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8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8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8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8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8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8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8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8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8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8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8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8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8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8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8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8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8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8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8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8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8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8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8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8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8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8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8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8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8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8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8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8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8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8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8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8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8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8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8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8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8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8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8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8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8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8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8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8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8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8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8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8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8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8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8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8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8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8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8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8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8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8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8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8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8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8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8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8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8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8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8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8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8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8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8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8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8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8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8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8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8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8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8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8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8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8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8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8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8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8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8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8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8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8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8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8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8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8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8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8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8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8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8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8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8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8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8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8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8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8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8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8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8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8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8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8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8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8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8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8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8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8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8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8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8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8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8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8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8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8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8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8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8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8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8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8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8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8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8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8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8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8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8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8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8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8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8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8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8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8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8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8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8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8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8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8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8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8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8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8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8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8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8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8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8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8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8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8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8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8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8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8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8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8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8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8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8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8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8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8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8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8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8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8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8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8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8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8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8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8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8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8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8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8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8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8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8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8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8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8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8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8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8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8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8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8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8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8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8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8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8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8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8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8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8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8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8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8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8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8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8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8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8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8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8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8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8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8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8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8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8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8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8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8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8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8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8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8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8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8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8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8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8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8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8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8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8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8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8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8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8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8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8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8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8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8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8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8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8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8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8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8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8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8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8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8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8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8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8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8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8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8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8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8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8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8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8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8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8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8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8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8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8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8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8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8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8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8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8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8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8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8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8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8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8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5"/>
      <c r="B1001" s="15"/>
      <c r="C1001" s="15"/>
      <c r="D1001" s="15"/>
      <c r="E1001" s="18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</sheetData>
  <drawing r:id="rId1"/>
</worksheet>
</file>