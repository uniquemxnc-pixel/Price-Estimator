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<sst xmlns="http://schemas.openxmlformats.org/spreadsheetml/2006/main" count="17" uniqueCount="17">
  <si>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Product</t>
  </si>
  <si>
    <t>Base Price</t>
  </si>
  <si>
    <t>Import Cost</t>
  </si>
  <si>
    <t>Sub Distributors</t>
  </si>
  <si>
    <t>In-Person Restaurants</t>
  </si>
  <si>
    <t>Marketplace Restaurants</t>
  </si>
  <si>
    <t>Marketplace Residential</t>
  </si>
  <si>
    <t>CHAROLA RECTANGULAR 10 IN X6 GRIS DENALI</t>
  </si>
  <si>
    <t>PLATO TRINCHE 15 CHENA SIN RELIEVE GRIS DENALI</t>
  </si>
  <si>
    <t>PLATO TRINCHE 19 CHENA SIN RELIEVE GRIS DENALI</t>
  </si>
  <si>
    <t>PLATÓN OVAL 25 OTB GRIS DENALI</t>
  </si>
  <si>
    <t>PLATÓN OVAL 34 CM OTB GRIS DENALI</t>
  </si>
  <si>
    <t>PLATÓN OVAL 38 CM OTB GRIS DENALI</t>
  </si>
  <si>
    <t>TAZA CONICA 12 OZ GRIS DENALI</t>
  </si>
  <si>
    <t>TAZA CAPUCHINO GRIS DENALI</t>
  </si>
  <si>
    <t>PLATO PARA TAZA CAPUCHINO GRIS DENALI</t>
  </si>
  <si>
    <t>BAJA BOWL 45OZ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</si>
</sst>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readingOrder="0" shrinkToFit="0" wrapText="1"/>
    </xf>
    <xf borderId="1" fillId="5" fontId="3" numFmtId="164" xfId="0" applyAlignment="1" applyBorder="1" applyFill="1" applyFont="1" applyNumberFormat="1">
      <alignment horizontal="right" readingOrder="0" shrinkToFit="0" vertical="bottom" wrapText="1"/>
    </xf>
    <xf borderId="1" fillId="5" fontId="3" numFmtId="164" xfId="0" applyAlignment="1" applyBorder="1" applyFill="1" applyFont="1" applyNumberFormat="1">
      <alignment horizontal="right" shrinkToFit="0" vertical="bottom" wrapText="1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3.11</v>
      </c>
      <c r="C2" s="5">
        <f t="shared" ref="C2:C11" si="1">B2+1</f>
        <v>4.11</v>
      </c>
      <c r="D2" s="5">
        <f t="shared" ref="D2:D11" si="2">C2*1.3</f>
        <v>5.343</v>
      </c>
      <c r="E2" s="5">
        <f t="shared" ref="E2:E11" si="3">C2*1.5</f>
        <v>6.165</v>
      </c>
      <c r="F2" s="5">
        <f t="shared" ref="F2:F11" si="4">C2*1.65</f>
        <v>6.7815</v>
      </c>
      <c r="G2" s="5">
        <f t="shared" ref="G2:G11" si="5">C2*1.85</f>
        <v>7.6035</v>
      </c>
    </row>
    <row r="3">
      <c r="A3" s="3" t="s">
        <v>8</v>
      </c>
      <c r="B3" s="4">
        <v>1.9</v>
      </c>
      <c r="C3" s="5">
        <f t="shared" si="1"/>
        <v>2.9</v>
      </c>
      <c r="D3" s="5">
        <f t="shared" si="2"/>
        <v>3.77</v>
      </c>
      <c r="E3" s="5">
        <f t="shared" si="3"/>
        <v>4.35</v>
      </c>
      <c r="F3" s="5">
        <f t="shared" si="4"/>
        <v>4.785</v>
      </c>
      <c r="G3" s="5">
        <f t="shared" si="5"/>
        <v>5.365</v>
      </c>
    </row>
    <row r="4">
      <c r="A4" s="3" t="s">
        <v>9</v>
      </c>
      <c r="B4" s="4">
        <v>2.22</v>
      </c>
      <c r="C4" s="5">
        <f t="shared" si="1"/>
        <v>3.22</v>
      </c>
      <c r="D4" s="5">
        <f t="shared" si="2"/>
        <v>4.186</v>
      </c>
      <c r="E4" s="5">
        <f t="shared" si="3"/>
        <v>4.83</v>
      </c>
      <c r="F4" s="5">
        <f t="shared" si="4"/>
        <v>5.313</v>
      </c>
      <c r="G4" s="5">
        <f t="shared" si="5"/>
        <v>5.957</v>
      </c>
    </row>
    <row r="5">
      <c r="A5" s="3" t="s">
        <v>10</v>
      </c>
      <c r="B5" s="4">
        <v>3.11</v>
      </c>
      <c r="C5" s="5">
        <f t="shared" si="1"/>
        <v>4.11</v>
      </c>
      <c r="D5" s="5">
        <f t="shared" si="2"/>
        <v>5.343</v>
      </c>
      <c r="E5" s="5">
        <f t="shared" si="3"/>
        <v>6.165</v>
      </c>
      <c r="F5" s="5">
        <f t="shared" si="4"/>
        <v>6.7815</v>
      </c>
      <c r="G5" s="5">
        <f t="shared" si="5"/>
        <v>7.6035</v>
      </c>
    </row>
    <row r="6">
      <c r="A6" s="3" t="s">
        <v>11</v>
      </c>
      <c r="B6" s="4">
        <v>4.02</v>
      </c>
      <c r="C6" s="5">
        <f t="shared" si="1"/>
        <v>5.02</v>
      </c>
      <c r="D6" s="5">
        <f t="shared" si="2"/>
        <v>6.526</v>
      </c>
      <c r="E6" s="5">
        <f t="shared" si="3"/>
        <v>7.53</v>
      </c>
      <c r="F6" s="5">
        <f t="shared" si="4"/>
        <v>8.283</v>
      </c>
      <c r="G6" s="5">
        <f t="shared" si="5"/>
        <v>9.287</v>
      </c>
    </row>
    <row r="7">
      <c r="A7" s="3" t="s">
        <v>12</v>
      </c>
      <c r="B7" s="4">
        <v>4.2</v>
      </c>
      <c r="C7" s="5">
        <f t="shared" si="1"/>
        <v>5.2</v>
      </c>
      <c r="D7" s="5">
        <f t="shared" si="2"/>
        <v>6.76</v>
      </c>
      <c r="E7" s="5">
        <f t="shared" si="3"/>
        <v>7.8</v>
      </c>
      <c r="F7" s="5">
        <f t="shared" si="4"/>
        <v>8.58</v>
      </c>
      <c r="G7" s="5">
        <f t="shared" si="5"/>
        <v>9.62</v>
      </c>
    </row>
    <row r="8">
      <c r="A8" s="3" t="s">
        <v>13</v>
      </c>
      <c r="B8" s="4">
        <v>1.7</v>
      </c>
      <c r="C8" s="5">
        <f t="shared" si="1"/>
        <v>2.7</v>
      </c>
      <c r="D8" s="5">
        <f t="shared" si="2"/>
        <v>3.51</v>
      </c>
      <c r="E8" s="5">
        <f t="shared" si="3"/>
        <v>4.05</v>
      </c>
      <c r="F8" s="5">
        <f t="shared" si="4"/>
        <v>4.455</v>
      </c>
      <c r="G8" s="5">
        <f t="shared" si="5"/>
        <v>4.995</v>
      </c>
    </row>
    <row r="9">
      <c r="A9" s="3" t="s">
        <v>14</v>
      </c>
      <c r="B9" s="6">
        <v>1.15</v>
      </c>
      <c r="C9" s="5">
        <f t="shared" si="1"/>
        <v>2.15</v>
      </c>
      <c r="D9" s="5">
        <f t="shared" si="2"/>
        <v>2.795</v>
      </c>
      <c r="E9" s="5">
        <f t="shared" si="3"/>
        <v>3.225</v>
      </c>
      <c r="F9" s="5">
        <f t="shared" si="4"/>
        <v>3.5475</v>
      </c>
      <c r="G9" s="5">
        <f t="shared" si="5"/>
        <v>3.9775</v>
      </c>
    </row>
    <row r="10">
      <c r="A10" s="3" t="s">
        <v>15</v>
      </c>
      <c r="B10" s="6">
        <v>1.8</v>
      </c>
      <c r="C10" s="5">
        <f t="shared" si="1"/>
        <v>2.8</v>
      </c>
      <c r="D10" s="5">
        <f t="shared" si="2"/>
        <v>3.64</v>
      </c>
      <c r="E10" s="5">
        <f t="shared" si="3"/>
        <v>4.2</v>
      </c>
      <c r="F10" s="5">
        <f t="shared" si="4"/>
        <v>4.62</v>
      </c>
      <c r="G10" s="5">
        <f t="shared" si="5"/>
        <v>5.18</v>
      </c>
    </row>
    <row r="11">
      <c r="A11" s="3" t="s">
        <v>16</v>
      </c>
      <c r="B11" s="6">
        <v>3.5</v>
      </c>
      <c r="C11" s="5">
        <f t="shared" si="1"/>
        <v>4.5</v>
      </c>
      <c r="D11" s="5">
        <f t="shared" si="2"/>
        <v>5.85</v>
      </c>
      <c r="E11" s="5">
        <f t="shared" si="3"/>
        <v>6.75</v>
      </c>
      <c r="F11" s="5">
        <f t="shared" si="4"/>
        <v>7.425</v>
      </c>
      <c r="G11" s="5">
        <f t="shared" si="5"/>
        <v>8.325</v>
      </c>
    </row>
  </sheetData>
  <drawing r:id="rId1"/>
</worksheet>
</file>